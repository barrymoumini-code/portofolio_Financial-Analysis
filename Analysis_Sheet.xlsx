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uminibarry/Desktop/Startup Analysis/"/>
    </mc:Choice>
  </mc:AlternateContent>
  <xr:revisionPtr revIDLastSave="0" documentId="13_ncr:1_{52E7364F-2B4C-1446-B0B4-B13487161135}" xr6:coauthVersionLast="47" xr6:coauthVersionMax="47" xr10:uidLastSave="{00000000-0000-0000-0000-000000000000}"/>
  <bookViews>
    <workbookView xWindow="360" yWindow="500" windowWidth="28040" windowHeight="16280" xr2:uid="{05ACD8EC-0A43-4B48-9BC4-924FE9E65843}"/>
  </bookViews>
  <sheets>
    <sheet name="Inputs" sheetId="1" r:id="rId1"/>
    <sheet name="Analysis" sheetId="2" r:id="rId2"/>
    <sheet name="Graph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2" l="1"/>
  <c r="C24" i="2"/>
  <c r="C23" i="2"/>
  <c r="C22" i="2"/>
  <c r="C21" i="2"/>
  <c r="C20" i="2"/>
  <c r="C19" i="2"/>
  <c r="C18" i="2"/>
  <c r="C17" i="2"/>
  <c r="C16" i="2"/>
  <c r="C15" i="2"/>
  <c r="C14" i="2"/>
  <c r="E26" i="1"/>
  <c r="D39" i="2"/>
  <c r="I32" i="2"/>
  <c r="B66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40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39" i="2"/>
  <c r="D32" i="2"/>
  <c r="E32" i="2" s="1"/>
  <c r="D34" i="2"/>
  <c r="F34" i="2" s="1"/>
  <c r="D33" i="2"/>
  <c r="G33" i="2" s="1"/>
  <c r="G25" i="2"/>
  <c r="F16" i="2"/>
  <c r="F17" i="2" s="1"/>
  <c r="F15" i="2" s="1"/>
  <c r="F26" i="2"/>
  <c r="E14" i="2"/>
  <c r="D63" i="2" l="1"/>
  <c r="C63" i="2"/>
  <c r="G32" i="2"/>
  <c r="I34" i="2"/>
  <c r="I33" i="2"/>
  <c r="E33" i="2"/>
  <c r="F32" i="2"/>
  <c r="E34" i="2"/>
  <c r="G34" i="2"/>
  <c r="F33" i="2"/>
  <c r="G21" i="2"/>
  <c r="G22" i="2"/>
  <c r="G23" i="2"/>
  <c r="G20" i="2"/>
  <c r="C4" i="2"/>
  <c r="C5" i="2" s="1"/>
  <c r="C6" i="2" s="1"/>
  <c r="B4" i="2"/>
  <c r="B5" i="2" s="1"/>
  <c r="B6" i="2" s="1"/>
  <c r="B7" i="2" s="1"/>
  <c r="B8" i="2" s="1"/>
  <c r="C7" i="2" l="1"/>
  <c r="C8" i="2" s="1"/>
  <c r="G26" i="2"/>
</calcChain>
</file>

<file path=xl/sharedStrings.xml><?xml version="1.0" encoding="utf-8"?>
<sst xmlns="http://schemas.openxmlformats.org/spreadsheetml/2006/main" count="124" uniqueCount="105">
  <si>
    <t>Operating countries</t>
  </si>
  <si>
    <t>Kenya, Ghana, Côte d’Ivoire</t>
  </si>
  <si>
    <t>Sector</t>
  </si>
  <si>
    <t>Fintech – SME Payments Infrastructure</t>
  </si>
  <si>
    <t xml:space="preserve">Funding Goal </t>
  </si>
  <si>
    <t>Seed round of 3M</t>
  </si>
  <si>
    <t>Target Audience</t>
  </si>
  <si>
    <t xml:space="preserve"> SMEs in Africa seeking simple, integrated digital payment solutions.</t>
  </si>
  <si>
    <t>Company Overview</t>
  </si>
  <si>
    <t>Month</t>
  </si>
  <si>
    <t>Amount</t>
  </si>
  <si>
    <t>Financial &amp; Operational Data (USD)</t>
  </si>
  <si>
    <t>Traction Metrics (Commercial and Financial Performance)</t>
  </si>
  <si>
    <t>Metric</t>
  </si>
  <si>
    <t>Value</t>
  </si>
  <si>
    <t>Active SME Clients</t>
  </si>
  <si>
    <t>Average Monthly Churn</t>
  </si>
  <si>
    <t>ARPA (Average Revenue per Account)</t>
  </si>
  <si>
    <t>Average Transaction Ticket</t>
  </si>
  <si>
    <t>Total Payment Volume (TPV) (Last 12 months)</t>
  </si>
  <si>
    <t>Take Rate</t>
  </si>
  <si>
    <t>Costs and Financial Health</t>
  </si>
  <si>
    <t>Customer Acquisition Cost (CAC)</t>
  </si>
  <si>
    <t>Contribution Margin per Customer</t>
  </si>
  <si>
    <t>Average Gross Margin</t>
  </si>
  <si>
    <t>Current Monthly Burn</t>
  </si>
  <si>
    <t>Cash Available</t>
  </si>
  <si>
    <t>Runway</t>
  </si>
  <si>
    <t>Team</t>
  </si>
  <si>
    <t>CEO: ex-Flutterwave</t>
  </si>
  <si>
    <t>CTO: ex-MFS Africa</t>
  </si>
  <si>
    <t>Head of Sales: ex-JumiaPay</t>
  </si>
  <si>
    <t>Strong team with relevant African fintech experience – VC-friendly.</t>
  </si>
  <si>
    <t>Market Data</t>
  </si>
  <si>
    <t>SMEs already digitized</t>
  </si>
  <si>
    <t>Digitizable SMEs in Anglophone + Francophone Africa</t>
  </si>
  <si>
    <t>Average annual spend on fintech tools per SME</t>
  </si>
  <si>
    <t>Founders</t>
  </si>
  <si>
    <t>Employees (ESOP)</t>
  </si>
  <si>
    <t>Friends &amp; Family Investors</t>
  </si>
  <si>
    <t>Advisors</t>
  </si>
  <si>
    <t>Cap Table</t>
  </si>
  <si>
    <t>Dilution</t>
  </si>
  <si>
    <t>Owner</t>
  </si>
  <si>
    <t>Raise</t>
  </si>
  <si>
    <t>Pre-money valuation</t>
  </si>
  <si>
    <t>Exit Scenarios / IRR Calculation</t>
  </si>
  <si>
    <t>Projected Exit in 7 Years</t>
  </si>
  <si>
    <t>Scenario</t>
  </si>
  <si>
    <t>Exit Value</t>
  </si>
  <si>
    <t>VC Ownership</t>
  </si>
  <si>
    <t>Base Scenario</t>
  </si>
  <si>
    <t>Pessimistic</t>
  </si>
  <si>
    <t>Optimistic</t>
  </si>
  <si>
    <t>Cohort Data</t>
  </si>
  <si>
    <t>Seed Round Proposal</t>
  </si>
  <si>
    <t>Unit Economics</t>
  </si>
  <si>
    <t>LTV</t>
  </si>
  <si>
    <t>Payback period</t>
  </si>
  <si>
    <t>LTV/CAC</t>
  </si>
  <si>
    <t>LT</t>
  </si>
  <si>
    <t>Churn</t>
  </si>
  <si>
    <t>Actual Scenario</t>
  </si>
  <si>
    <t>Alternative scenario</t>
  </si>
  <si>
    <t>Alternative churn for analysis</t>
  </si>
  <si>
    <t>Cohort Analysis (Last 12 month)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</si>
  <si>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</si>
  <si>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</si>
  <si>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</si>
  <si>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</si>
  <si>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</si>
  <si>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</si>
  <si>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</si>
  <si>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</si>
  <si>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</si>
  <si>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</si>
  <si>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</si>
  <si>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</si>
  <si>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Retention</t>
  </si>
  <si>
    <t>Clients</t>
  </si>
  <si>
    <t>Round</t>
  </si>
  <si>
    <t>Ownership Acquired by New Investors</t>
  </si>
  <si>
    <t>Pre-Money Valuation ($M)</t>
  </si>
  <si>
    <t>Post-Money Valuation ($M)</t>
  </si>
  <si>
    <t>Investor</t>
  </si>
  <si>
    <t>Total</t>
  </si>
  <si>
    <t>Seed</t>
  </si>
  <si>
    <t>New ownership</t>
  </si>
  <si>
    <t>Pre seed Ownership</t>
  </si>
  <si>
    <t>Esop refressh</t>
  </si>
  <si>
    <t>Esop refresh</t>
  </si>
  <si>
    <t>ROI</t>
  </si>
  <si>
    <t>Gain</t>
  </si>
  <si>
    <t>IRR</t>
  </si>
  <si>
    <t>Net Gain</t>
  </si>
  <si>
    <t xml:space="preserve">Proabality </t>
  </si>
  <si>
    <t>5% pre-money</t>
  </si>
  <si>
    <t>Metrics</t>
  </si>
  <si>
    <t>MoM evolution</t>
  </si>
  <si>
    <t>MoM %</t>
  </si>
  <si>
    <t>CAGR</t>
  </si>
  <si>
    <t>Growth Rate</t>
  </si>
  <si>
    <t>Total Periodic Growth rate</t>
  </si>
  <si>
    <t>Probability Gain Analysis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</si>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</sst>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&quot;$&quot;#,##0_);\(&quot;$&quot;#,##0\)"/>
    <numFmt numFmtId="166" formatCode="_(* #,##0_);_(* \(#,##0\);_(* &quot;-&quot;??_);_(@_)"/>
    <numFmt numFmtId="167" formatCode="&quot;$&quot;0&quot;M&quot;"/>
    <numFmt numFmtId="168" formatCode="0.0%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FF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8" xfId="0" applyFont="1" applyBorder="1"/>
    <xf numFmtId="0" fontId="3" fillId="0" borderId="1" xfId="0" applyFont="1" applyBorder="1"/>
    <xf numFmtId="0" fontId="3" fillId="0" borderId="2" xfId="0" applyFont="1" applyBorder="1" applyAlignment="1">
      <alignment wrapText="1"/>
    </xf>
    <xf numFmtId="9" fontId="3" fillId="0" borderId="0" xfId="0" applyNumberFormat="1" applyFont="1"/>
    <xf numFmtId="0" fontId="3" fillId="0" borderId="3" xfId="0" applyFont="1" applyBorder="1"/>
    <xf numFmtId="0" fontId="3" fillId="0" borderId="4" xfId="0" applyFont="1" applyBorder="1" applyAlignment="1">
      <alignment wrapText="1"/>
    </xf>
    <xf numFmtId="0" fontId="3" fillId="0" borderId="5" xfId="0" applyFont="1" applyBorder="1"/>
    <xf numFmtId="0" fontId="3" fillId="0" borderId="6" xfId="0" applyFont="1" applyBorder="1" applyAlignment="1">
      <alignment wrapText="1"/>
    </xf>
    <xf numFmtId="10" fontId="3" fillId="0" borderId="0" xfId="0" applyNumberFormat="1" applyFont="1"/>
    <xf numFmtId="0" fontId="4" fillId="0" borderId="7" xfId="0" applyFont="1" applyBorder="1"/>
    <xf numFmtId="0" fontId="4" fillId="0" borderId="0" xfId="0" applyFont="1"/>
    <xf numFmtId="10" fontId="0" fillId="0" borderId="0" xfId="0" applyNumberFormat="1"/>
    <xf numFmtId="0" fontId="3" fillId="0" borderId="0" xfId="0" applyFont="1" applyAlignment="1">
      <alignment vertical="center"/>
    </xf>
    <xf numFmtId="9" fontId="3" fillId="0" borderId="0" xfId="0" applyNumberFormat="1" applyFont="1" applyAlignment="1">
      <alignment vertical="center"/>
    </xf>
    <xf numFmtId="167" fontId="6" fillId="0" borderId="0" xfId="0" applyNumberFormat="1" applyFont="1"/>
    <xf numFmtId="0" fontId="4" fillId="0" borderId="10" xfId="0" applyFont="1" applyBorder="1"/>
    <xf numFmtId="9" fontId="6" fillId="0" borderId="0" xfId="1" applyFont="1" applyAlignment="1"/>
    <xf numFmtId="9" fontId="6" fillId="0" borderId="0" xfId="0" applyNumberFormat="1" applyFont="1"/>
    <xf numFmtId="0" fontId="3" fillId="0" borderId="10" xfId="0" applyFont="1" applyBorder="1"/>
    <xf numFmtId="10" fontId="3" fillId="0" borderId="10" xfId="0" applyNumberFormat="1" applyFont="1" applyBorder="1"/>
    <xf numFmtId="9" fontId="6" fillId="0" borderId="10" xfId="1" applyFont="1" applyBorder="1" applyAlignment="1"/>
    <xf numFmtId="164" fontId="3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right"/>
    </xf>
    <xf numFmtId="2" fontId="9" fillId="0" borderId="0" xfId="0" applyNumberFormat="1" applyFont="1"/>
    <xf numFmtId="9" fontId="9" fillId="0" borderId="0" xfId="0" applyNumberFormat="1" applyFont="1"/>
    <xf numFmtId="2" fontId="8" fillId="0" borderId="0" xfId="0" applyNumberFormat="1" applyFont="1"/>
    <xf numFmtId="166" fontId="10" fillId="0" borderId="0" xfId="0" applyNumberFormat="1" applyFont="1"/>
    <xf numFmtId="166" fontId="11" fillId="0" borderId="0" xfId="0" applyNumberFormat="1" applyFont="1"/>
    <xf numFmtId="0" fontId="12" fillId="0" borderId="10" xfId="0" applyFont="1" applyBorder="1"/>
    <xf numFmtId="167" fontId="6" fillId="0" borderId="10" xfId="0" applyNumberFormat="1" applyFont="1" applyBorder="1"/>
    <xf numFmtId="166" fontId="6" fillId="0" borderId="10" xfId="0" applyNumberFormat="1" applyFont="1" applyBorder="1"/>
    <xf numFmtId="166" fontId="6" fillId="0" borderId="0" xfId="0" applyNumberFormat="1" applyFont="1"/>
    <xf numFmtId="166" fontId="6" fillId="0" borderId="0" xfId="0" applyNumberFormat="1" applyFont="1" applyAlignment="1">
      <alignment horizontal="center"/>
    </xf>
    <xf numFmtId="9" fontId="8" fillId="0" borderId="0" xfId="0" applyNumberFormat="1" applyFont="1"/>
    <xf numFmtId="166" fontId="13" fillId="0" borderId="0" xfId="0" applyNumberFormat="1" applyFont="1"/>
    <xf numFmtId="0" fontId="11" fillId="0" borderId="0" xfId="0" applyFont="1" applyAlignment="1">
      <alignment horizontal="left"/>
    </xf>
    <xf numFmtId="166" fontId="13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17" fontId="9" fillId="0" borderId="0" xfId="0" applyNumberFormat="1" applyFont="1"/>
    <xf numFmtId="165" fontId="9" fillId="0" borderId="0" xfId="0" applyNumberFormat="1" applyFont="1"/>
    <xf numFmtId="0" fontId="6" fillId="0" borderId="0" xfId="0" applyFont="1"/>
    <xf numFmtId="168" fontId="11" fillId="0" borderId="0" xfId="0" applyNumberFormat="1" applyFont="1"/>
    <xf numFmtId="10" fontId="11" fillId="0" borderId="0" xfId="0" applyNumberFormat="1" applyFont="1"/>
    <xf numFmtId="9" fontId="3" fillId="0" borderId="0" xfId="1" applyFont="1"/>
    <xf numFmtId="9" fontId="3" fillId="0" borderId="0" xfId="0" applyNumberFormat="1" applyFont="1" applyAlignment="1">
      <alignment horizontal="right"/>
    </xf>
    <xf numFmtId="9" fontId="11" fillId="0" borderId="0" xfId="0" applyNumberFormat="1" applyFont="1"/>
    <xf numFmtId="0" fontId="4" fillId="0" borderId="9" xfId="0" applyFont="1" applyBorder="1"/>
    <xf numFmtId="10" fontId="4" fillId="0" borderId="9" xfId="0" applyNumberFormat="1" applyFont="1" applyBorder="1"/>
    <xf numFmtId="2" fontId="3" fillId="0" borderId="0" xfId="0" applyNumberFormat="1" applyFont="1"/>
    <xf numFmtId="1" fontId="3" fillId="0" borderId="0" xfId="0" applyNumberFormat="1" applyFont="1"/>
    <xf numFmtId="0" fontId="3" fillId="0" borderId="11" xfId="0" applyFont="1" applyBorder="1"/>
    <xf numFmtId="9" fontId="3" fillId="0" borderId="11" xfId="1" applyFont="1" applyBorder="1"/>
    <xf numFmtId="9" fontId="4" fillId="0" borderId="0" xfId="1" applyFont="1"/>
    <xf numFmtId="0" fontId="14" fillId="0" borderId="0" xfId="0" applyFont="1"/>
    <xf numFmtId="49" fontId="3" fillId="0" borderId="0" xfId="0" applyNumberFormat="1" applyFont="1" applyAlignment="1">
      <alignment horizontal="right"/>
    </xf>
    <xf numFmtId="49" fontId="3" fillId="0" borderId="11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Normal" xfId="0" builtinId="0"/>
    <cellStyle name="Pourcentage" xfId="1" builtinId="5"/>
  </cellStyles>
  <dxfs count="7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30" formatCode="@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  <border diagonalUp="0" diagonalDown="0" outline="0">
        <left/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/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border outline="0">
        <bottom style="thin">
          <color indexed="64"/>
        </bottom>
      </border>
    </dxf>
    <dxf>
      <font>
        <b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7" formatCode="&quot;$&quot;0&quot;M&quot;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13" formatCode="0%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 sz="1600" b="1">
                <a:solidFill>
                  <a:schemeClr val="tx1"/>
                </a:solidFill>
              </a:rPr>
              <a:t>RETENTION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Analysis!$C$12</c:f>
              <c:strCache>
                <c:ptCount val="1"/>
                <c:pt idx="0">
                  <c:v>Retention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Analysis!$A$13:$A$24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Analysis!$C$13:$C$24</c:f>
              <c:numCache>
                <c:formatCode>0.00%</c:formatCode>
                <c:ptCount val="12"/>
                <c:pt idx="0" formatCode="0%">
                  <c:v>1</c:v>
                </c:pt>
                <c:pt idx="1">
                  <c:v>0.97499999999999998</c:v>
                </c:pt>
                <c:pt idx="2">
                  <c:v>0.98461538461538467</c:v>
                </c:pt>
                <c:pt idx="3">
                  <c:v>0.98645833333333333</c:v>
                </c:pt>
                <c:pt idx="4">
                  <c:v>0.98416050686378032</c:v>
                </c:pt>
                <c:pt idx="5">
                  <c:v>0.98175965665236054</c:v>
                </c:pt>
                <c:pt idx="6">
                  <c:v>0.98579234972677598</c:v>
                </c:pt>
                <c:pt idx="7">
                  <c:v>0.98115299334811534</c:v>
                </c:pt>
                <c:pt idx="8">
                  <c:v>0.98305084745762716</c:v>
                </c:pt>
                <c:pt idx="9">
                  <c:v>0.97931034482758617</c:v>
                </c:pt>
                <c:pt idx="10">
                  <c:v>0.98356807511737088</c:v>
                </c:pt>
                <c:pt idx="11">
                  <c:v>0.97852028639618138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D9-044A-8483-D0EA574FB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8066096"/>
        <c:axId val="1719018927"/>
      </c:lineChart>
      <c:catAx>
        <c:axId val="6806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9018927"/>
        <c:crosses val="autoZero"/>
        <c:auto val="1"/>
        <c:lblAlgn val="ctr"/>
        <c:lblOffset val="100"/>
        <c:noMultiLvlLbl val="0"/>
      </c:catAx>
      <c:valAx>
        <c:axId val="171901892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06609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A" sz="1600" b="1" i="0" u="none" strike="noStrike" cap="all" normalizeH="0" baseline="0">
                <a:solidFill>
                  <a:schemeClr val="tx1"/>
                </a:solidFill>
                <a:effectLst/>
              </a:rPr>
              <a:t>TIR / ROI</a:t>
            </a:r>
            <a:endParaRPr lang="fr-FR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Analysis!$F$31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Analysis!$A$32:$A$34</c:f>
              <c:strCache>
                <c:ptCount val="3"/>
                <c:pt idx="0">
                  <c:v>Base Scenario</c:v>
                </c:pt>
                <c:pt idx="1">
                  <c:v>Pessimistic</c:v>
                </c:pt>
                <c:pt idx="2">
                  <c:v>Optimistic</c:v>
                </c:pt>
              </c:strCache>
            </c:strRef>
          </c:cat>
          <c:val>
            <c:numRef>
              <c:f>Analysis!$F$32:$F$34</c:f>
              <c:numCache>
                <c:formatCode>0%</c:formatCode>
                <c:ptCount val="3"/>
                <c:pt idx="0">
                  <c:v>4</c:v>
                </c:pt>
                <c:pt idx="1">
                  <c:v>0.875</c:v>
                </c:pt>
                <c:pt idx="2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6-4E4B-ABA8-74AB3319F637}"/>
            </c:ext>
          </c:extLst>
        </c:ser>
        <c:ser>
          <c:idx val="1"/>
          <c:order val="1"/>
          <c:tx>
            <c:strRef>
              <c:f>Analysis!$G$31</c:f>
              <c:strCache>
                <c:ptCount val="1"/>
                <c:pt idx="0">
                  <c:v>IRR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Analysis!$A$32:$A$34</c:f>
              <c:strCache>
                <c:ptCount val="3"/>
                <c:pt idx="0">
                  <c:v>Base Scenario</c:v>
                </c:pt>
                <c:pt idx="1">
                  <c:v>Pessimistic</c:v>
                </c:pt>
                <c:pt idx="2">
                  <c:v>Optimistic</c:v>
                </c:pt>
              </c:strCache>
            </c:strRef>
          </c:cat>
          <c:val>
            <c:numRef>
              <c:f>Analysis!$G$32:$G$34</c:f>
              <c:numCache>
                <c:formatCode>0%</c:formatCode>
                <c:ptCount val="3"/>
                <c:pt idx="0">
                  <c:v>0.25849895064182671</c:v>
                </c:pt>
                <c:pt idx="1">
                  <c:v>9.3956824020258844E-2</c:v>
                </c:pt>
                <c:pt idx="2">
                  <c:v>0.43450289958509303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6-4E4B-ABA8-74AB3319F6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37792576"/>
        <c:axId val="122519536"/>
      </c:barChart>
      <c:catAx>
        <c:axId val="173779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519536"/>
        <c:crosses val="autoZero"/>
        <c:auto val="1"/>
        <c:lblAlgn val="ctr"/>
        <c:lblOffset val="100"/>
        <c:noMultiLvlLbl val="0"/>
      </c:catAx>
      <c:valAx>
        <c:axId val="1225195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3779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Analysis!$A$7</c:f>
              <c:strCache>
                <c:ptCount val="1"/>
                <c:pt idx="0">
                  <c:v>LTV/CAC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solidFill>
                  <a:schemeClr val="bg2">
                    <a:lumMod val="50000"/>
                  </a:schemeClr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88-9644-93A5-80EF389DFA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Analysis!$B$3:$C$3</c:f>
              <c:strCache>
                <c:ptCount val="2"/>
                <c:pt idx="0">
                  <c:v>Actual Scenario</c:v>
                </c:pt>
                <c:pt idx="1">
                  <c:v>Alternative scenario</c:v>
                </c:pt>
              </c:strCache>
            </c:strRef>
          </c:cat>
          <c:val>
            <c:numRef>
              <c:f>Analysis!$B$7:$C$7</c:f>
              <c:numCache>
                <c:formatCode>0</c:formatCode>
                <c:ptCount val="2"/>
                <c:pt idx="0">
                  <c:v>30.079575596816973</c:v>
                </c:pt>
                <c:pt idx="1">
                  <c:v>48.46153846153846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88-9644-93A5-80EF389DFA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48237183"/>
        <c:axId val="613914943"/>
      </c:barChart>
      <c:catAx>
        <c:axId val="54823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3914943"/>
        <c:crosses val="autoZero"/>
        <c:auto val="1"/>
        <c:lblAlgn val="ctr"/>
        <c:lblOffset val="100"/>
        <c:noMultiLvlLbl val="0"/>
      </c:catAx>
      <c:valAx>
        <c:axId val="613914943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54823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 sz="1800" b="1">
                <a:latin typeface="+mn-lt"/>
              </a:rPr>
              <a:t>MRR Evolution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Inputs!$A$10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Inputs!$A$11:$A$34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8-784B-96DA-42B41C9A0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867547183"/>
        <c:axId val="1867824063"/>
      </c:barChart>
      <c:lineChart>
        <c:grouping val="standard"/>
        <c:varyColors val="0"/>
        <c:ser>
          <c:idx val="1"/>
          <c:order val="1"/>
          <c:tx>
            <c:strRef>
              <c:f>Inputs!$B$10</c:f>
              <c:strCache>
                <c:ptCount val="1"/>
                <c:pt idx="0">
                  <c:v>Revenue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Inputs!$B$11:$B$34</c:f>
              <c:numCache>
                <c:formatCode>General</c:formatCode>
                <c:ptCount val="24"/>
                <c:pt idx="0">
                  <c:v>21000</c:v>
                </c:pt>
                <c:pt idx="1">
                  <c:v>26000</c:v>
                </c:pt>
                <c:pt idx="2">
                  <c:v>31000</c:v>
                </c:pt>
                <c:pt idx="3">
                  <c:v>35000</c:v>
                </c:pt>
                <c:pt idx="4">
                  <c:v>43000</c:v>
                </c:pt>
                <c:pt idx="5">
                  <c:v>50000</c:v>
                </c:pt>
                <c:pt idx="6">
                  <c:v>62000</c:v>
                </c:pt>
                <c:pt idx="7">
                  <c:v>71000</c:v>
                </c:pt>
                <c:pt idx="8">
                  <c:v>88000</c:v>
                </c:pt>
                <c:pt idx="9">
                  <c:v>94000</c:v>
                </c:pt>
                <c:pt idx="10">
                  <c:v>102000</c:v>
                </c:pt>
                <c:pt idx="11">
                  <c:v>118000</c:v>
                </c:pt>
                <c:pt idx="12">
                  <c:v>132000</c:v>
                </c:pt>
                <c:pt idx="13">
                  <c:v>145000</c:v>
                </c:pt>
                <c:pt idx="14">
                  <c:v>160000</c:v>
                </c:pt>
                <c:pt idx="15">
                  <c:v>174000</c:v>
                </c:pt>
                <c:pt idx="16">
                  <c:v>195000</c:v>
                </c:pt>
                <c:pt idx="17">
                  <c:v>210000</c:v>
                </c:pt>
                <c:pt idx="18">
                  <c:v>223000</c:v>
                </c:pt>
                <c:pt idx="19">
                  <c:v>240000</c:v>
                </c:pt>
                <c:pt idx="20">
                  <c:v>263000</c:v>
                </c:pt>
                <c:pt idx="21">
                  <c:v>281000</c:v>
                </c:pt>
                <c:pt idx="22">
                  <c:v>302000</c:v>
                </c:pt>
                <c:pt idx="23">
                  <c:v>325000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D8-784B-96DA-42B41C9A0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7547183"/>
        <c:axId val="1867824063"/>
      </c:lineChart>
      <c:catAx>
        <c:axId val="1867547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7824063"/>
        <c:crosses val="autoZero"/>
        <c:auto val="1"/>
        <c:lblAlgn val="ctr"/>
        <c:lblOffset val="100"/>
        <c:noMultiLvlLbl val="0"/>
      </c:catAx>
      <c:valAx>
        <c:axId val="186782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754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Periodic</a:t>
            </a:r>
            <a:r>
              <a:rPr lang="en-US" baseline="0">
                <a:solidFill>
                  <a:schemeClr val="tx1"/>
                </a:solidFill>
              </a:rPr>
              <a:t> Growth rate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Analysis!$D$38</c:f>
              <c:strCache>
                <c:ptCount val="1"/>
                <c:pt idx="0">
                  <c:v>MoM %</c:v>
                </c:pt>
              </c:strCache>
            </c:strRef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cat>
            <c:numRef>
              <c:f>Analysis!$A$39:$A$62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Analysis!$D$39:$D$62</c:f>
              <c:numCache>
                <c:formatCode>0%</c:formatCode>
                <c:ptCount val="24"/>
                <c:pt idx="0">
                  <c:v>0.2</c:v>
                </c:pt>
                <c:pt idx="1">
                  <c:v>0.23809523809523808</c:v>
                </c:pt>
                <c:pt idx="2">
                  <c:v>0.19230769230769232</c:v>
                </c:pt>
                <c:pt idx="3">
                  <c:v>0.12903225806451613</c:v>
                </c:pt>
                <c:pt idx="4">
                  <c:v>0.22857142857142856</c:v>
                </c:pt>
                <c:pt idx="5">
                  <c:v>0.16279069767441862</c:v>
                </c:pt>
                <c:pt idx="6">
                  <c:v>0.24</c:v>
                </c:pt>
                <c:pt idx="7">
                  <c:v>0.14516129032258066</c:v>
                </c:pt>
                <c:pt idx="8">
                  <c:v>0.23943661971830985</c:v>
                </c:pt>
                <c:pt idx="9">
                  <c:v>6.8181818181818177E-2</c:v>
                </c:pt>
                <c:pt idx="10">
                  <c:v>8.5106382978723402E-2</c:v>
                </c:pt>
                <c:pt idx="11">
                  <c:v>0.15686274509803921</c:v>
                </c:pt>
                <c:pt idx="12">
                  <c:v>0.11864406779661017</c:v>
                </c:pt>
                <c:pt idx="13">
                  <c:v>9.8484848484848481E-2</c:v>
                </c:pt>
                <c:pt idx="14">
                  <c:v>0.10344827586206896</c:v>
                </c:pt>
                <c:pt idx="15">
                  <c:v>8.7499999999999994E-2</c:v>
                </c:pt>
                <c:pt idx="16">
                  <c:v>0.1206896551724138</c:v>
                </c:pt>
                <c:pt idx="17">
                  <c:v>7.6923076923076927E-2</c:v>
                </c:pt>
                <c:pt idx="18">
                  <c:v>6.1904761904761907E-2</c:v>
                </c:pt>
                <c:pt idx="19">
                  <c:v>7.623318385650224E-2</c:v>
                </c:pt>
                <c:pt idx="20">
                  <c:v>9.583333333333334E-2</c:v>
                </c:pt>
                <c:pt idx="21">
                  <c:v>6.8441064638783272E-2</c:v>
                </c:pt>
                <c:pt idx="22">
                  <c:v>7.4733096085409248E-2</c:v>
                </c:pt>
                <c:pt idx="23">
                  <c:v>7.6158940397350994E-2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04-4141-8708-36BDB2EAA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479760"/>
        <c:axId val="99303232"/>
      </c:lineChart>
      <c:catAx>
        <c:axId val="9947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303232"/>
        <c:crosses val="autoZero"/>
        <c:auto val="1"/>
        <c:lblAlgn val="ctr"/>
        <c:lblOffset val="100"/>
        <c:noMultiLvlLbl val="0"/>
      </c:catAx>
      <c:valAx>
        <c:axId val="993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47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Ownership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Analysis!$G$19</c:f>
              <c:strCache>
                <c:ptCount val="1"/>
                <c:pt idx="0">
                  <c:v> New ownership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5B-BF40-A115-78BEBD70C6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5B-BF40-A115-78BEBD70C6A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5B-BF40-A115-78BEBD70C6A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75B-BF40-A115-78BEBD70C6A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75B-BF40-A115-78BEBD70C6A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75B-BF40-A115-78BEBD70C6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Analysis!$E$20:$E$25</c:f>
              <c:strCache>
                <c:ptCount val="6"/>
                <c:pt idx="0">
                  <c:v>Founders</c:v>
                </c:pt>
                <c:pt idx="1">
                  <c:v>Employees (ESOP)</c:v>
                </c:pt>
                <c:pt idx="2">
                  <c:v>Friends &amp; Family Investors</c:v>
                </c:pt>
                <c:pt idx="3">
                  <c:v>Advisors</c:v>
                </c:pt>
                <c:pt idx="4">
                  <c:v>Seed</c:v>
                </c:pt>
                <c:pt idx="5">
                  <c:v>Esop refressh</c:v>
                </c:pt>
              </c:strCache>
            </c:strRef>
          </c:cat>
          <c:val>
            <c:numRef>
              <c:f>Analysis!$G$20:$G$25</c:f>
              <c:numCache>
                <c:formatCode>0%</c:formatCode>
                <c:ptCount val="6"/>
                <c:pt idx="0">
                  <c:v>0.54720000000000002</c:v>
                </c:pt>
                <c:pt idx="1">
                  <c:v>7.6000000000000012E-2</c:v>
                </c:pt>
                <c:pt idx="2">
                  <c:v>0.11399999999999999</c:v>
                </c:pt>
                <c:pt idx="3">
                  <c:v>2.2800000000000001E-2</c:v>
                </c:pt>
                <c:pt idx="4">
                  <c:v>0.2</c:v>
                </c:pt>
                <c:pt idx="5">
                  <c:v>4.0000000000000008E-2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75B-BF40-A115-78BEBD70C6A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127000</xdr:rowOff>
    </xdr:from>
    <xdr:to>
      <xdr:col>18</xdr:col>
      <xdr:colOff>177800</xdr:colOff>
      <xdr:row>32</xdr:row>
      <xdr:rowOff>101600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1B03AF15-2117-96F1-7618-2F8B1DFE38DC}"/>
            </a:ext>
          </a:extLst>
        </xdr:cNvPr>
        <xdr:cNvSpPr/>
      </xdr:nvSpPr>
      <xdr:spPr>
        <a:xfrm>
          <a:off x="63500" y="127000"/>
          <a:ext cx="14973300" cy="6477000"/>
        </a:xfrm>
        <a:prstGeom prst="roundRect">
          <a:avLst/>
        </a:prstGeom>
        <a:noFill/>
        <a:ln w="952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622300</xdr:colOff>
      <xdr:row>3</xdr:row>
      <xdr:rowOff>0</xdr:rowOff>
    </xdr:from>
    <xdr:to>
      <xdr:col>6</xdr:col>
      <xdr:colOff>241300</xdr:colOff>
      <xdr:row>16</xdr:row>
      <xdr:rowOff>101600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0844102-DE50-C444-A893-DBEF0D487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3</xdr:row>
      <xdr:rowOff>0</xdr:rowOff>
    </xdr:from>
    <xdr:to>
      <xdr:col>11</xdr:col>
      <xdr:colOff>787400</xdr:colOff>
      <xdr:row>16</xdr:row>
      <xdr:rowOff>101600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6EFFC4E-B1A3-0D41-A585-52C5BFD37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622300</xdr:colOff>
      <xdr:row>17</xdr:row>
      <xdr:rowOff>50800</xdr:rowOff>
    </xdr:from>
    <xdr:to>
      <xdr:col>6</xdr:col>
      <xdr:colOff>241300</xdr:colOff>
      <xdr:row>30</xdr:row>
      <xdr:rowOff>152400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5ECE7E3-82BD-1E44-9BCA-02F6B2030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342900</xdr:colOff>
      <xdr:row>17</xdr:row>
      <xdr:rowOff>12700</xdr:rowOff>
    </xdr:from>
    <xdr:to>
      <xdr:col>11</xdr:col>
      <xdr:colOff>787400</xdr:colOff>
      <xdr:row>30</xdr:row>
      <xdr:rowOff>114300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02CC645-0F84-5F42-A617-0FF9F1C90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114300</xdr:colOff>
      <xdr:row>3</xdr:row>
      <xdr:rowOff>0</xdr:rowOff>
    </xdr:from>
    <xdr:to>
      <xdr:col>17</xdr:col>
      <xdr:colOff>558800</xdr:colOff>
      <xdr:row>16</xdr:row>
      <xdr:rowOff>101600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A48160FE-1143-634F-BA16-1DF9D9022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101600</xdr:colOff>
      <xdr:row>17</xdr:row>
      <xdr:rowOff>0</xdr:rowOff>
    </xdr:from>
    <xdr:to>
      <xdr:col>17</xdr:col>
      <xdr:colOff>558800</xdr:colOff>
      <xdr:row>30</xdr:row>
      <xdr:rowOff>109220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6331D1A8-D97F-044D-8B48-45556CE62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E28727-3556-2643-9265-D379166F6D46}" name="Tableau1" displayName="Tableau1" ref="A10:B34" totalsRowShown="0" headerRowDxfId="69" dataDxfId="68">
  <autoFilter ref="A10:B34" xr:uid="{D2E28727-3556-2643-9265-D379166F6D46}">
    <filterColumn colId="0" hiddenButton="1"/>
    <filterColumn colId="1" hiddenButton="1"/>
  </autoFilter>
  <tableColumns count="2">
    <tableColumn id="1" xr3:uid="{09FB6851-5C7B-5B4E-A16E-87752ED35EAD}" name="Month" dataDxfId="67"/>
    <tableColumn id="2" xr3:uid="{74C36263-2F41-C349-A681-98395C4E3668}" name="Revenue" dataDxfId="66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DE51CB-F17D-114A-9A04-5BB57810F558}" name="Tableau2" displayName="Tableau2" ref="D10:E16" totalsRowShown="0" headerRowDxfId="65" dataDxfId="64">
  <autoFilter ref="D10:E16" xr:uid="{A3DE51CB-F17D-114A-9A04-5BB57810F558}">
    <filterColumn colId="0" hiddenButton="1"/>
    <filterColumn colId="1" hiddenButton="1"/>
  </autoFilter>
  <tableColumns count="2">
    <tableColumn id="1" xr3:uid="{355E2572-862D-F447-A1B1-CCA128C65E0B}" name="Metric" dataDxfId="63"/>
    <tableColumn id="2" xr3:uid="{EE2E4616-0F53-0146-8370-1DF2FD18EA74}" name="Value" dataDxfId="62"/>
  </tableColumns>
  <tableStyleInfo name="TableStyleLight1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CE70DA-657C-1942-B344-AA90E4E98A99}" name="Tableau3" displayName="Tableau3" ref="D20:E26" totalsRowShown="0" headerRowDxfId="61" dataDxfId="60">
  <autoFilter ref="D20:E26" xr:uid="{33CE70DA-657C-1942-B344-AA90E4E98A99}">
    <filterColumn colId="0" hiddenButton="1"/>
    <filterColumn colId="1" hiddenButton="1"/>
  </autoFilter>
  <tableColumns count="2">
    <tableColumn id="1" xr3:uid="{4E08FE2D-9EF7-EE49-B0AD-7EFB776A3165}" name="Metric" dataDxfId="59"/>
    <tableColumn id="2" xr3:uid="{77C44C07-CE8F-6A4A-912A-E5F81DB15691}" name="Value" dataDxfId="58"/>
  </tableColumns>
  <tableStyleInfo name="TableStyleLight1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C98613-4BF2-C24A-A2A6-A858E65BF2B9}" name="Tableau4" displayName="Tableau4" ref="D2:E6" totalsRowShown="0" headerRowDxfId="57" dataDxfId="55" headerRowBorderDxfId="56" tableBorderDxfId="54">
  <autoFilter ref="D2:E6" xr:uid="{68C98613-4BF2-C24A-A2A6-A858E65BF2B9}">
    <filterColumn colId="0" hiddenButton="1"/>
    <filterColumn colId="1" hiddenButton="1"/>
  </autoFilter>
  <tableColumns count="2">
    <tableColumn id="1" xr3:uid="{4F3852A2-7BBC-6E49-A8EC-FFDDCB7DA737}" name="Owner" dataDxfId="53"/>
    <tableColumn id="2" xr3:uid="{7CBB8D77-CDA1-BA49-9679-A91ED0F5EEC4}" name="Dilution" dataDxfId="52"/>
  </tableColumns>
  <tableStyleInfo name="TableStyleLight1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23704E-05C3-6E4B-B779-B984868F15F5}" name="Tableau5" displayName="Tableau5" ref="G3:H4" headerRowCount="0" totalsRowShown="0" headerRowDxfId="51" dataDxfId="50">
  <tableColumns count="2">
    <tableColumn id="1" xr3:uid="{50C6A3B0-9759-3C43-A110-91DE475A8A82}" name="Colonne1" headerRowDxfId="49" dataDxfId="48"/>
    <tableColumn id="2" xr3:uid="{25F17B4E-6B7F-6F4A-BA11-423ACB690AC2}" name="Colonne2" headerRowDxfId="47" dataDxfId="46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EECD70-5924-9245-A4AC-5AF02328C63D}" name="Tableau6" displayName="Tableau6" ref="G12:I15" totalsRowShown="0">
  <autoFilter ref="G12:I15" xr:uid="{62EECD70-5924-9245-A4AC-5AF02328C63D}">
    <filterColumn colId="0" hiddenButton="1"/>
    <filterColumn colId="1" hiddenButton="1"/>
    <filterColumn colId="2" hiddenButton="1"/>
  </autoFilter>
  <tableColumns count="3">
    <tableColumn id="1" xr3:uid="{3B98139D-7FD7-0C4A-90F8-9C78E119B032}" name="Scenario" dataDxfId="45"/>
    <tableColumn id="2" xr3:uid="{E14186BA-7A46-8445-8C78-997CA08FAC34}" name="Exit Value" dataDxfId="44"/>
    <tableColumn id="3" xr3:uid="{D4986CDE-7D50-1943-933C-C5B8EA870E54}" name="VC Ownership"/>
  </tableColumns>
  <tableStyleInfo name="TableStyleLight1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84DCAD-36B8-D44C-8665-F7A877AA9C31}" name="Tableau7" displayName="Tableau7" ref="A12:C24" totalsRowShown="0" headerRowDxfId="43" dataDxfId="42">
  <autoFilter ref="A12:C24" xr:uid="{1A84DCAD-36B8-D44C-8665-F7A877AA9C31}">
    <filterColumn colId="0" hiddenButton="1"/>
    <filterColumn colId="1" hiddenButton="1"/>
    <filterColumn colId="2" hiddenButton="1"/>
  </autoFilter>
  <tableColumns count="3">
    <tableColumn id="1" xr3:uid="{A5E52F01-D411-B445-B7A3-CFA73BE9EDCB}" name="Month" dataDxfId="41"/>
    <tableColumn id="2" xr3:uid="{FC2F80AC-F513-BB41-94D0-E62B184FBCF7}" name="Clients" dataDxfId="40"/>
    <tableColumn id="3" xr3:uid="{11C046A0-E6C9-574C-B79D-D8FA789CC10A}" name="Retention" dataDxfId="39">
      <calculatedColumnFormula>100%-(($B$13-B13)/$B$13)</calculatedColumnFormula>
    </tableColumn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A1C160-376E-814F-8F56-B721666F7BBB}" name="Tableau8" displayName="Tableau8" ref="E19:G26" headerRowDxfId="38" dataDxfId="36" totalsRowDxfId="35" headerRowBorderDxfId="37">
  <autoFilter ref="E19:G26" xr:uid="{AEA1C160-376E-814F-8F56-B721666F7BBB}">
    <filterColumn colId="0" hiddenButton="1"/>
    <filterColumn colId="1" hiddenButton="1"/>
    <filterColumn colId="2" hiddenButton="1"/>
  </autoFilter>
  <tableColumns count="3">
    <tableColumn id="1" xr3:uid="{4CE4E5EA-19C0-3D43-A253-995824018961}" name="Investor" totalsRowLabel="Total" dataDxfId="34" totalsRowDxfId="33"/>
    <tableColumn id="2" xr3:uid="{14331942-50B9-BB4B-AEF3-DB33764DF42A}" name="Pre seed Ownership" dataDxfId="32" totalsRowDxfId="31"/>
    <tableColumn id="3" xr3:uid="{E1CD771A-39A8-2147-91B1-92A954097F9C}" name="New ownership" totalsRowFunction="count" dataDxfId="30" totalsRowDxfId="29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EBE868-49B3-8A49-AC0E-9EA9BDE83960}" name="Tableau610" displayName="Tableau610" ref="A31:I34" totalsRowShown="0" headerRowDxfId="28" dataDxfId="27">
  <autoFilter ref="A31:I34" xr:uid="{34EBE868-49B3-8A49-AC0E-9EA9BDE839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20F5BC8-CD94-2A43-8E66-FBFD726DF16B}" name="Scenario" dataDxfId="26"/>
    <tableColumn id="2" xr3:uid="{0D38E687-ED8C-124E-8E71-60B8DEAE3F6F}" name="Exit Value" dataDxfId="25"/>
    <tableColumn id="3" xr3:uid="{60CCD388-7A88-9948-BAB6-07835C0D6024}" name="VC Ownership" dataDxfId="24"/>
    <tableColumn id="4" xr3:uid="{D582867F-BC02-754C-948C-6E1C74B33A78}" name="Gain" dataDxfId="23">
      <calculatedColumnFormula>Tableau610[[#This Row],[Exit Value]]*Tableau610[[#This Row],[VC Ownership]]</calculatedColumnFormula>
    </tableColumn>
    <tableColumn id="7" xr3:uid="{E175168A-57B2-8F40-80FE-927460F7371E}" name="Net Gain" dataDxfId="22">
      <calculatedColumnFormula>Tableau610[[#This Row],[Gain]]-Inputs!$H$3</calculatedColumnFormula>
    </tableColumn>
    <tableColumn id="5" xr3:uid="{CBDEB40F-C229-A242-9F6A-9FEF39613097}" name="ROI" dataDxfId="21" dataCellStyle="Pourcentage">
      <calculatedColumnFormula>(Tableau610[[#This Row],[Gain]]-Inputs!$H$3)/Inputs!$H$3</calculatedColumnFormula>
    </tableColumn>
    <tableColumn id="6" xr3:uid="{A481964D-2796-FC48-8505-34F183772826}" name="IRR" dataDxfId="20" dataCellStyle="Pourcentage">
      <calculatedColumnFormula>((Tableau610[[#This Row],[Gain]]/Inputs!$H$3)^(1/7))-1</calculatedColumnFormula>
    </tableColumn>
    <tableColumn id="8" xr3:uid="{5E30697F-3D1B-DC44-99B6-5D4F2C0F68BD}" name="Proabality " dataDxfId="19"/>
    <tableColumn id="9" xr3:uid="{5053F321-A887-DA49-9997-0E6CF75C1061}" name="Probability Gain Analysis" dataDxfId="18">
      <calculatedColumnFormula>Tableau610[[#This Row],[Gain]]*Tableau610[[#This Row],[Proabality ]]</calculatedColumnFormula>
    </tableColumn>
  </tableColumns>
  <tableStyleInfo name="TableStyleLight1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7C5B0F1-DE6B-3346-8030-6AEF53618D86}" name="Tableau12" displayName="Tableau12" ref="E5:F5" headerRowCount="0" totalsRowShown="0" headerRowDxfId="17" dataDxfId="15" headerRowBorderDxfId="16" tableBorderDxfId="14" totalsRowBorderDxfId="13">
  <tableColumns count="2">
    <tableColumn id="1" xr3:uid="{530B6CED-2B4E-DF4D-B25E-26CB654ECC1E}" name="Colonne1" headerRowDxfId="12" dataDxfId="11"/>
    <tableColumn id="3" xr3:uid="{2141FC81-A280-FA41-961B-1DA2F3C2DEFA}" name="Colonne3" headerRowDxfId="10" dataDxfId="9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BBA854F-EB8B-7D43-AFFE-137A0A4C5D4A}" name="Tableau111" displayName="Tableau111" ref="A38:B62" totalsRowShown="0" headerRowDxfId="8" dataDxfId="7">
  <autoFilter ref="A38:B62" xr:uid="{ABBA854F-EB8B-7D43-AFFE-137A0A4C5D4A}">
    <filterColumn colId="0" hiddenButton="1"/>
    <filterColumn colId="1" hiddenButton="1"/>
  </autoFilter>
  <tableColumns count="2">
    <tableColumn id="1" xr3:uid="{F5DFAAFB-58EA-034A-B0EC-F7F9CC953BE6}" name="Month" dataDxfId="6"/>
    <tableColumn id="2" xr3:uid="{8B54C9BC-C23F-7542-98E9-2A8EB5B8F182}" name="Amount" dataDxfId="5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4C633B-4FED-C640-8A88-B2E699EDEC5F}" name="Tableau11" displayName="Tableau11" ref="A66:B66" headerRowCount="0" totalsRowShown="0" headerRowDxfId="4">
  <tableColumns count="2">
    <tableColumn id="1" xr3:uid="{E46C7582-A095-234E-BB93-76E6DCA16100}" name="Colonne1" headerRowDxfId="3" dataDxfId="2"/>
    <tableColumn id="2" xr3:uid="{7B7394A8-83A5-8143-BA4D-00BC814BD5F2}" name="Colonne2" headerRowDxfId="1" dataDxfId="0" headerRowCellStyle="Pourcentage" dataCellStyle="Pourcentage">
      <calculatedColumnFormula>((B62/B39)^(1/2)-1)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8E43-3E1F-614A-B052-8B121ED91CF8}">
  <dimension ref="A1:I36"/>
  <sheetViews>
    <sheetView showGridLines="0" tabSelected="1" zoomScale="81" workbookViewId="0">
      <selection activeCell="B15" sqref="B15"/>
    </sheetView>
  </sheetViews>
  <sheetFormatPr baseColWidth="10" defaultRowHeight="16" x14ac:dyDescent="0.2"/>
  <cols>
    <col min="1" max="1" width="21.83203125" customWidth="1"/>
    <col min="2" max="2" width="33.83203125" customWidth="1"/>
    <col min="4" max="4" width="46.6640625" customWidth="1"/>
    <col min="5" max="5" width="31.1640625" customWidth="1"/>
    <col min="7" max="7" width="19.5" customWidth="1"/>
    <col min="8" max="8" width="21.33203125" customWidth="1"/>
    <col min="9" max="9" width="15" customWidth="1"/>
  </cols>
  <sheetData>
    <row r="1" spans="1:9" ht="18" x14ac:dyDescent="0.2">
      <c r="A1" s="61" t="s">
        <v>8</v>
      </c>
      <c r="B1" s="61"/>
      <c r="C1" s="2"/>
      <c r="D1" s="61" t="s">
        <v>41</v>
      </c>
      <c r="E1" s="61"/>
      <c r="G1" s="61" t="s">
        <v>55</v>
      </c>
      <c r="H1" s="61"/>
    </row>
    <row r="2" spans="1:9" x14ac:dyDescent="0.2">
      <c r="A2" s="2"/>
      <c r="B2" s="2"/>
      <c r="C2" s="2"/>
      <c r="D2" s="3" t="s">
        <v>43</v>
      </c>
      <c r="E2" s="3" t="s">
        <v>42</v>
      </c>
    </row>
    <row r="3" spans="1:9" ht="17" x14ac:dyDescent="0.2">
      <c r="A3" s="4" t="s">
        <v>2</v>
      </c>
      <c r="B3" s="5" t="s">
        <v>3</v>
      </c>
      <c r="C3" s="2"/>
      <c r="D3" s="2" t="s">
        <v>37</v>
      </c>
      <c r="E3" s="6">
        <v>0.72</v>
      </c>
      <c r="G3" s="13" t="s">
        <v>44</v>
      </c>
      <c r="H3" s="13">
        <v>3000000</v>
      </c>
    </row>
    <row r="4" spans="1:9" ht="17" x14ac:dyDescent="0.2">
      <c r="A4" s="7" t="s">
        <v>0</v>
      </c>
      <c r="B4" s="8" t="s">
        <v>1</v>
      </c>
      <c r="C4" s="2"/>
      <c r="D4" s="2" t="s">
        <v>38</v>
      </c>
      <c r="E4" s="6">
        <v>0.1</v>
      </c>
      <c r="G4" s="13" t="s">
        <v>45</v>
      </c>
      <c r="H4" s="13">
        <v>12000000</v>
      </c>
    </row>
    <row r="5" spans="1:9" ht="17" x14ac:dyDescent="0.2">
      <c r="A5" s="7" t="s">
        <v>4</v>
      </c>
      <c r="B5" s="8" t="s">
        <v>5</v>
      </c>
      <c r="C5" s="2"/>
      <c r="D5" s="2" t="s">
        <v>39</v>
      </c>
      <c r="E5" s="6">
        <v>0.15</v>
      </c>
      <c r="G5" s="2"/>
      <c r="H5" s="2"/>
    </row>
    <row r="6" spans="1:9" ht="34" x14ac:dyDescent="0.2">
      <c r="A6" s="9" t="s">
        <v>6</v>
      </c>
      <c r="B6" s="10" t="s">
        <v>7</v>
      </c>
      <c r="C6" s="2"/>
      <c r="D6" s="15" t="s">
        <v>40</v>
      </c>
      <c r="E6" s="16">
        <v>0.03</v>
      </c>
      <c r="G6" s="2"/>
      <c r="H6" s="2"/>
    </row>
    <row r="7" spans="1:9" x14ac:dyDescent="0.2">
      <c r="A7" s="2"/>
      <c r="B7" s="2"/>
      <c r="C7" s="2"/>
      <c r="D7" s="2"/>
      <c r="E7" s="2"/>
      <c r="G7" s="2"/>
      <c r="H7" s="2"/>
    </row>
    <row r="8" spans="1:9" ht="18" x14ac:dyDescent="0.2">
      <c r="A8" s="61" t="s">
        <v>11</v>
      </c>
      <c r="B8" s="61"/>
      <c r="C8" s="2"/>
      <c r="D8" s="61" t="s">
        <v>12</v>
      </c>
      <c r="E8" s="61"/>
      <c r="G8" s="61" t="s">
        <v>46</v>
      </c>
      <c r="H8" s="61"/>
    </row>
    <row r="9" spans="1:9" x14ac:dyDescent="0.2">
      <c r="A9" s="2"/>
      <c r="B9" s="2"/>
      <c r="C9" s="2"/>
      <c r="D9" s="2"/>
      <c r="E9" s="2"/>
      <c r="G9" s="2"/>
      <c r="H9" s="2"/>
    </row>
    <row r="10" spans="1:9" x14ac:dyDescent="0.2">
      <c r="A10" s="2" t="s">
        <v>9</v>
      </c>
      <c r="B10" s="2" t="s">
        <v>104</v>
      </c>
      <c r="C10" s="2"/>
      <c r="D10" s="2" t="s">
        <v>13</v>
      </c>
      <c r="E10" s="2" t="s">
        <v>14</v>
      </c>
      <c r="G10" s="13" t="s">
        <v>47</v>
      </c>
      <c r="H10" s="2"/>
    </row>
    <row r="11" spans="1:9" x14ac:dyDescent="0.2">
      <c r="A11" s="2">
        <v>1</v>
      </c>
      <c r="B11" s="2">
        <v>21000</v>
      </c>
      <c r="C11" s="2"/>
      <c r="D11" s="2" t="s">
        <v>15</v>
      </c>
      <c r="E11" s="2">
        <v>5100</v>
      </c>
      <c r="G11" s="2"/>
      <c r="H11" s="2"/>
    </row>
    <row r="12" spans="1:9" x14ac:dyDescent="0.2">
      <c r="A12" s="2">
        <v>2</v>
      </c>
      <c r="B12" s="2">
        <v>26000</v>
      </c>
      <c r="C12" s="2"/>
      <c r="D12" s="2" t="s">
        <v>16</v>
      </c>
      <c r="E12" s="11">
        <v>2.9000000000000001E-2</v>
      </c>
      <c r="G12" s="13" t="s">
        <v>48</v>
      </c>
      <c r="H12" s="13" t="s">
        <v>49</v>
      </c>
      <c r="I12" s="1" t="s">
        <v>50</v>
      </c>
    </row>
    <row r="13" spans="1:9" x14ac:dyDescent="0.2">
      <c r="A13" s="2">
        <v>3</v>
      </c>
      <c r="B13" s="2">
        <v>31000</v>
      </c>
      <c r="C13" s="2"/>
      <c r="D13" s="2" t="s">
        <v>17</v>
      </c>
      <c r="E13" s="2">
        <v>63</v>
      </c>
      <c r="G13" s="2" t="s">
        <v>51</v>
      </c>
      <c r="H13" s="2">
        <v>120000000</v>
      </c>
      <c r="I13" s="14">
        <v>0.125</v>
      </c>
    </row>
    <row r="14" spans="1:9" x14ac:dyDescent="0.2">
      <c r="A14" s="2">
        <v>4</v>
      </c>
      <c r="B14" s="2">
        <v>35000</v>
      </c>
      <c r="C14" s="2"/>
      <c r="D14" s="2" t="s">
        <v>18</v>
      </c>
      <c r="E14" s="2">
        <v>18</v>
      </c>
      <c r="G14" s="2" t="s">
        <v>52</v>
      </c>
      <c r="H14" s="2">
        <v>45000000</v>
      </c>
      <c r="I14" s="14">
        <v>0.125</v>
      </c>
    </row>
    <row r="15" spans="1:9" x14ac:dyDescent="0.2">
      <c r="A15" s="2">
        <v>5</v>
      </c>
      <c r="B15" s="2">
        <v>43000</v>
      </c>
      <c r="C15" s="2"/>
      <c r="D15" s="2" t="s">
        <v>19</v>
      </c>
      <c r="E15" s="2">
        <v>174000000</v>
      </c>
      <c r="G15" s="2" t="s">
        <v>53</v>
      </c>
      <c r="H15" s="2">
        <v>300000000</v>
      </c>
      <c r="I15" s="14">
        <v>0.125</v>
      </c>
    </row>
    <row r="16" spans="1:9" x14ac:dyDescent="0.2">
      <c r="A16" s="2">
        <v>6</v>
      </c>
      <c r="B16" s="2">
        <v>50000</v>
      </c>
      <c r="C16" s="2"/>
      <c r="D16" s="2" t="s">
        <v>20</v>
      </c>
      <c r="E16" s="11">
        <v>4.4999999999999997E-3</v>
      </c>
      <c r="G16" s="2"/>
      <c r="H16" s="2"/>
    </row>
    <row r="17" spans="1:8" x14ac:dyDescent="0.2">
      <c r="A17" s="2">
        <v>7</v>
      </c>
      <c r="B17" s="2">
        <v>62000</v>
      </c>
      <c r="C17" s="2"/>
      <c r="D17" s="2"/>
      <c r="E17" s="2"/>
      <c r="G17" s="2"/>
      <c r="H17" s="2"/>
    </row>
    <row r="18" spans="1:8" ht="18" x14ac:dyDescent="0.2">
      <c r="A18" s="2">
        <v>8</v>
      </c>
      <c r="B18" s="2">
        <v>71000</v>
      </c>
      <c r="C18" s="2"/>
      <c r="D18" s="2"/>
      <c r="E18" s="2"/>
      <c r="G18" s="61" t="s">
        <v>54</v>
      </c>
      <c r="H18" s="61"/>
    </row>
    <row r="19" spans="1:8" ht="18" x14ac:dyDescent="0.2">
      <c r="A19" s="2">
        <v>9</v>
      </c>
      <c r="B19" s="2">
        <v>88000</v>
      </c>
      <c r="C19" s="2"/>
      <c r="D19" s="61" t="s">
        <v>21</v>
      </c>
      <c r="E19" s="61"/>
      <c r="G19" s="12" t="s">
        <v>9</v>
      </c>
      <c r="H19" s="12" t="s">
        <v>10</v>
      </c>
    </row>
    <row r="20" spans="1:8" x14ac:dyDescent="0.2">
      <c r="A20" s="2">
        <v>10</v>
      </c>
      <c r="B20" s="2">
        <v>94000</v>
      </c>
      <c r="C20" s="2"/>
      <c r="D20" s="2" t="s">
        <v>13</v>
      </c>
      <c r="E20" s="2" t="s">
        <v>14</v>
      </c>
      <c r="G20" s="2">
        <v>1</v>
      </c>
      <c r="H20" s="2">
        <v>1000</v>
      </c>
    </row>
    <row r="21" spans="1:8" x14ac:dyDescent="0.2">
      <c r="A21" s="2">
        <v>11</v>
      </c>
      <c r="B21" s="2">
        <v>102000</v>
      </c>
      <c r="C21" s="2"/>
      <c r="D21" s="2" t="s">
        <v>22</v>
      </c>
      <c r="E21" s="2">
        <v>52</v>
      </c>
      <c r="G21" s="2">
        <v>2</v>
      </c>
      <c r="H21" s="2">
        <v>975</v>
      </c>
    </row>
    <row r="22" spans="1:8" x14ac:dyDescent="0.2">
      <c r="A22" s="2">
        <v>12</v>
      </c>
      <c r="B22" s="2">
        <v>118000</v>
      </c>
      <c r="C22" s="2"/>
      <c r="D22" s="2" t="s">
        <v>23</v>
      </c>
      <c r="E22" s="2">
        <v>8.5</v>
      </c>
      <c r="G22" s="2">
        <v>3</v>
      </c>
      <c r="H22" s="2">
        <v>960</v>
      </c>
    </row>
    <row r="23" spans="1:8" x14ac:dyDescent="0.2">
      <c r="A23" s="2">
        <v>13</v>
      </c>
      <c r="B23" s="2">
        <v>132000</v>
      </c>
      <c r="C23" s="2"/>
      <c r="D23" s="2" t="s">
        <v>24</v>
      </c>
      <c r="E23" s="2">
        <v>0.72</v>
      </c>
      <c r="G23" s="2">
        <v>4</v>
      </c>
      <c r="H23" s="2">
        <v>947</v>
      </c>
    </row>
    <row r="24" spans="1:8" x14ac:dyDescent="0.2">
      <c r="A24" s="2">
        <v>14</v>
      </c>
      <c r="B24" s="2">
        <v>145000</v>
      </c>
      <c r="C24" s="2"/>
      <c r="D24" s="2" t="s">
        <v>25</v>
      </c>
      <c r="E24" s="2">
        <v>165000</v>
      </c>
      <c r="G24" s="2">
        <v>5</v>
      </c>
      <c r="H24" s="2">
        <v>932</v>
      </c>
    </row>
    <row r="25" spans="1:8" x14ac:dyDescent="0.2">
      <c r="A25" s="2">
        <v>15</v>
      </c>
      <c r="B25" s="2">
        <v>160000</v>
      </c>
      <c r="C25" s="2"/>
      <c r="D25" s="2" t="s">
        <v>26</v>
      </c>
      <c r="E25" s="2">
        <v>2100000</v>
      </c>
      <c r="G25" s="2">
        <v>6</v>
      </c>
      <c r="H25" s="2">
        <v>915</v>
      </c>
    </row>
    <row r="26" spans="1:8" x14ac:dyDescent="0.2">
      <c r="A26" s="2">
        <v>16</v>
      </c>
      <c r="B26" s="2">
        <v>174000</v>
      </c>
      <c r="C26" s="2"/>
      <c r="D26" s="2" t="s">
        <v>27</v>
      </c>
      <c r="E26" s="53">
        <f>E25/E24</f>
        <v>12.727272727272727</v>
      </c>
      <c r="G26" s="2">
        <v>7</v>
      </c>
      <c r="H26" s="2">
        <v>902</v>
      </c>
    </row>
    <row r="27" spans="1:8" x14ac:dyDescent="0.2">
      <c r="A27" s="2">
        <v>17</v>
      </c>
      <c r="B27" s="2">
        <v>195000</v>
      </c>
      <c r="C27" s="2"/>
      <c r="D27" s="2"/>
      <c r="E27" s="2"/>
      <c r="G27" s="2">
        <v>8</v>
      </c>
      <c r="H27" s="2">
        <v>885</v>
      </c>
    </row>
    <row r="28" spans="1:8" ht="18" x14ac:dyDescent="0.2">
      <c r="A28" s="2">
        <v>18</v>
      </c>
      <c r="B28" s="2">
        <v>210000</v>
      </c>
      <c r="C28" s="2"/>
      <c r="D28" s="61" t="s">
        <v>28</v>
      </c>
      <c r="E28" s="61"/>
      <c r="G28" s="2">
        <v>9</v>
      </c>
      <c r="H28" s="2">
        <v>870</v>
      </c>
    </row>
    <row r="29" spans="1:8" x14ac:dyDescent="0.2">
      <c r="A29" s="2">
        <v>19</v>
      </c>
      <c r="B29" s="2">
        <v>223000</v>
      </c>
      <c r="C29" s="2"/>
      <c r="D29" s="2" t="s">
        <v>29</v>
      </c>
      <c r="E29" s="2"/>
      <c r="G29" s="2">
        <v>10</v>
      </c>
      <c r="H29" s="2">
        <v>852</v>
      </c>
    </row>
    <row r="30" spans="1:8" x14ac:dyDescent="0.2">
      <c r="A30" s="2">
        <v>20</v>
      </c>
      <c r="B30" s="2">
        <v>240000</v>
      </c>
      <c r="C30" s="2"/>
      <c r="D30" s="2" t="s">
        <v>30</v>
      </c>
      <c r="E30" s="2"/>
      <c r="G30" s="2">
        <v>11</v>
      </c>
      <c r="H30" s="2">
        <v>838</v>
      </c>
    </row>
    <row r="31" spans="1:8" x14ac:dyDescent="0.2">
      <c r="A31" s="2">
        <v>21</v>
      </c>
      <c r="B31" s="2">
        <v>263000</v>
      </c>
      <c r="C31" s="2"/>
      <c r="D31" s="2" t="s">
        <v>31</v>
      </c>
      <c r="E31" s="2"/>
      <c r="G31" s="2">
        <v>12</v>
      </c>
      <c r="H31" s="2">
        <v>820</v>
      </c>
    </row>
    <row r="32" spans="1:8" x14ac:dyDescent="0.2">
      <c r="A32" s="2">
        <v>22</v>
      </c>
      <c r="B32" s="2">
        <v>281000</v>
      </c>
      <c r="C32" s="2"/>
      <c r="D32" s="2" t="s">
        <v>32</v>
      </c>
      <c r="E32" s="2"/>
    </row>
    <row r="33" spans="1:5" ht="18" x14ac:dyDescent="0.2">
      <c r="A33" s="2">
        <v>23</v>
      </c>
      <c r="B33" s="2">
        <v>302000</v>
      </c>
      <c r="C33" s="2"/>
      <c r="D33" s="61" t="s">
        <v>33</v>
      </c>
      <c r="E33" s="61"/>
    </row>
    <row r="34" spans="1:5" x14ac:dyDescent="0.2">
      <c r="A34" s="2">
        <v>24</v>
      </c>
      <c r="B34" s="2">
        <v>325000</v>
      </c>
      <c r="C34" s="2"/>
      <c r="D34" s="2" t="s">
        <v>35</v>
      </c>
      <c r="E34" s="2">
        <v>18000000</v>
      </c>
    </row>
    <row r="35" spans="1:5" x14ac:dyDescent="0.2">
      <c r="A35" s="2"/>
      <c r="B35" s="2"/>
      <c r="C35" s="2"/>
      <c r="D35" s="2" t="s">
        <v>34</v>
      </c>
      <c r="E35" s="2">
        <v>3200000</v>
      </c>
    </row>
    <row r="36" spans="1:5" x14ac:dyDescent="0.2">
      <c r="A36" s="2"/>
      <c r="B36" s="2"/>
      <c r="C36" s="2"/>
      <c r="D36" s="2" t="s">
        <v>36</v>
      </c>
      <c r="E36" s="2">
        <v>132</v>
      </c>
    </row>
  </sheetData>
  <mergeCells count="10">
    <mergeCell ref="A1:B1"/>
    <mergeCell ref="A8:B8"/>
    <mergeCell ref="D8:E8"/>
    <mergeCell ref="D19:E19"/>
    <mergeCell ref="D28:E28"/>
    <mergeCell ref="D33:E33"/>
    <mergeCell ref="D1:E1"/>
    <mergeCell ref="G18:H18"/>
    <mergeCell ref="G8:H8"/>
    <mergeCell ref="G1:H1"/>
  </mergeCells>
  <pageMargins left="0.7" right="0.7" top="0.75" bottom="0.75" header="0.3" footer="0.3"/>
  <pageSetup paperSize="9" orientation="portrait" horizontalDpi="0" verticalDpi="0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4418-54CB-1D48-B9C3-D65FF1C96155}">
  <dimension ref="A2:O66"/>
  <sheetViews>
    <sheetView showGridLines="0" topLeftCell="A11" workbookViewId="0">
      <selection activeCell="I36" sqref="I36"/>
    </sheetView>
  </sheetViews>
  <sheetFormatPr baseColWidth="10" defaultRowHeight="16" x14ac:dyDescent="0.2"/>
  <cols>
    <col min="1" max="1" width="16" style="2" customWidth="1"/>
    <col min="2" max="2" width="18.1640625" style="2" customWidth="1"/>
    <col min="3" max="3" width="21" style="2" customWidth="1"/>
    <col min="4" max="4" width="14" style="2" customWidth="1"/>
    <col min="5" max="5" width="28.83203125" style="2" customWidth="1"/>
    <col min="6" max="6" width="17.5" style="2" customWidth="1"/>
    <col min="7" max="7" width="16" style="2" customWidth="1"/>
    <col min="8" max="8" width="28" style="2" customWidth="1"/>
    <col min="9" max="9" width="23.6640625" style="2" customWidth="1"/>
    <col min="10" max="10" width="22" style="2" customWidth="1"/>
    <col min="11" max="16384" width="10.83203125" style="2"/>
  </cols>
  <sheetData>
    <row r="2" spans="1:14" ht="20" x14ac:dyDescent="0.2">
      <c r="A2" s="62" t="s">
        <v>56</v>
      </c>
      <c r="B2" s="62"/>
      <c r="C2" s="62"/>
    </row>
    <row r="3" spans="1:14" ht="17" thickBot="1" x14ac:dyDescent="0.25">
      <c r="A3" s="18" t="s">
        <v>97</v>
      </c>
      <c r="B3" s="18" t="s">
        <v>62</v>
      </c>
      <c r="C3" s="18" t="s">
        <v>63</v>
      </c>
    </row>
    <row r="4" spans="1:14" x14ac:dyDescent="0.2">
      <c r="A4" s="13" t="s">
        <v>61</v>
      </c>
      <c r="B4" s="11">
        <f>Inputs!E12</f>
        <v>2.9000000000000001E-2</v>
      </c>
      <c r="C4" s="11">
        <f>F5</f>
        <v>1.7999999999999999E-2</v>
      </c>
      <c r="E4"/>
      <c r="F4"/>
      <c r="G4"/>
    </row>
    <row r="5" spans="1:14" x14ac:dyDescent="0.2">
      <c r="A5" s="13" t="s">
        <v>60</v>
      </c>
      <c r="B5" s="54">
        <f>1/B4</f>
        <v>34.482758620689651</v>
      </c>
      <c r="C5" s="54">
        <f>1/C4</f>
        <v>55.555555555555557</v>
      </c>
      <c r="E5" s="51" t="s">
        <v>64</v>
      </c>
      <c r="F5" s="52">
        <v>1.7999999999999999E-2</v>
      </c>
    </row>
    <row r="6" spans="1:14" x14ac:dyDescent="0.2">
      <c r="A6" s="13" t="s">
        <v>57</v>
      </c>
      <c r="B6" s="2">
        <f>Inputs!E13*Inputs!E23*Analysis!B5</f>
        <v>1564.1379310344826</v>
      </c>
      <c r="C6" s="2">
        <f>Inputs!E13*Inputs!E23*Analysis!C5</f>
        <v>2520</v>
      </c>
    </row>
    <row r="7" spans="1:14" x14ac:dyDescent="0.2">
      <c r="A7" s="13" t="s">
        <v>59</v>
      </c>
      <c r="B7" s="54">
        <f>B6/Inputs!E21</f>
        <v>30.079575596816973</v>
      </c>
      <c r="C7" s="54">
        <f>C6/Inputs!E21</f>
        <v>48.46153846153846</v>
      </c>
    </row>
    <row r="8" spans="1:14" x14ac:dyDescent="0.2">
      <c r="A8" s="13" t="s">
        <v>58</v>
      </c>
      <c r="B8" s="24">
        <f>B7/(Inputs!E13*Inputs!E23)</f>
        <v>0.66312997347480096</v>
      </c>
      <c r="C8" s="24">
        <f>C7/(Inputs!E13*Inputs!E23)</f>
        <v>1.0683760683760684</v>
      </c>
    </row>
    <row r="11" spans="1:14" ht="20" x14ac:dyDescent="0.2">
      <c r="A11" s="62" t="s">
        <v>65</v>
      </c>
      <c r="B11" s="62"/>
      <c r="C11" s="62"/>
      <c r="E11" s="25" t="s">
        <v>41</v>
      </c>
    </row>
    <row r="12" spans="1:14" x14ac:dyDescent="0.2">
      <c r="A12" s="2" t="s">
        <v>9</v>
      </c>
      <c r="B12" s="2" t="s">
        <v>79</v>
      </c>
      <c r="C12" s="2" t="s">
        <v>78</v>
      </c>
      <c r="E12" s="2" t="s">
        <v>90</v>
      </c>
      <c r="F12" s="49" t="s">
        <v>96</v>
      </c>
    </row>
    <row r="13" spans="1:14" x14ac:dyDescent="0.2">
      <c r="A13" s="2" t="s">
        <v>66</v>
      </c>
      <c r="B13" s="2">
        <v>1000</v>
      </c>
      <c r="C13" s="6">
        <v>1</v>
      </c>
      <c r="E13" s="26" t="s">
        <v>80</v>
      </c>
      <c r="F13" s="27" t="s">
        <v>86</v>
      </c>
    </row>
    <row r="14" spans="1:14" x14ac:dyDescent="0.2">
      <c r="A14" s="2" t="s">
        <v>67</v>
      </c>
      <c r="B14" s="2">
        <v>975</v>
      </c>
      <c r="C14" s="11">
        <f>100%-(($B$13-B14)/$B$13)</f>
        <v>0.97499999999999998</v>
      </c>
      <c r="E14" s="26" t="str">
        <f>"Series "&amp;F13&amp;" Invested Capital ($M)"</f>
        <v>Series Seed Invested Capital ($M)</v>
      </c>
      <c r="F14" s="28">
        <v>3000000</v>
      </c>
    </row>
    <row r="15" spans="1:14" x14ac:dyDescent="0.2">
      <c r="A15" s="2" t="s">
        <v>68</v>
      </c>
      <c r="B15" s="2">
        <v>960</v>
      </c>
      <c r="C15" s="11">
        <f>100%-(($B$14-B15)/$B$14)</f>
        <v>0.98461538461538467</v>
      </c>
      <c r="E15" s="26" t="s">
        <v>81</v>
      </c>
      <c r="F15" s="29">
        <f>F14/F17</f>
        <v>0.2</v>
      </c>
    </row>
    <row r="16" spans="1:14" x14ac:dyDescent="0.2">
      <c r="A16" s="2" t="s">
        <v>69</v>
      </c>
      <c r="B16" s="2">
        <v>947</v>
      </c>
      <c r="C16" s="11">
        <f>100%-(($B$15-B16)/$B$15)</f>
        <v>0.98645833333333333</v>
      </c>
      <c r="E16" s="26" t="s">
        <v>82</v>
      </c>
      <c r="F16" s="30">
        <f>12000000</f>
        <v>12000000</v>
      </c>
      <c r="K16" s="32"/>
      <c r="L16" s="32"/>
      <c r="M16" s="32"/>
      <c r="N16" s="32"/>
    </row>
    <row r="17" spans="1:15" x14ac:dyDescent="0.2">
      <c r="A17" s="2" t="s">
        <v>70</v>
      </c>
      <c r="B17" s="2">
        <v>932</v>
      </c>
      <c r="C17" s="11">
        <f>100%-(($B$16-B17)/$B$16)</f>
        <v>0.98416050686378032</v>
      </c>
      <c r="E17" s="26" t="s">
        <v>83</v>
      </c>
      <c r="F17" s="30">
        <f>F14+F16</f>
        <v>15000000</v>
      </c>
      <c r="K17" s="32"/>
      <c r="L17" s="32"/>
      <c r="M17" s="32"/>
      <c r="N17" s="36"/>
    </row>
    <row r="18" spans="1:15" ht="20" x14ac:dyDescent="0.2">
      <c r="A18" s="2" t="s">
        <v>71</v>
      </c>
      <c r="B18" s="2">
        <v>915</v>
      </c>
      <c r="C18" s="11">
        <f>100%-(($B$17-B18)/$B$17)</f>
        <v>0.98175965665236054</v>
      </c>
      <c r="E18" s="25"/>
      <c r="F18" s="31"/>
      <c r="G18" s="32"/>
      <c r="K18" s="17"/>
      <c r="L18" s="17"/>
      <c r="M18" s="17"/>
      <c r="N18" s="17"/>
    </row>
    <row r="19" spans="1:15" ht="17" thickBot="1" x14ac:dyDescent="0.25">
      <c r="A19" s="2" t="s">
        <v>72</v>
      </c>
      <c r="B19" s="2">
        <v>902</v>
      </c>
      <c r="C19" s="11">
        <f>100%-(($B$18-B19)/$B$18)</f>
        <v>0.98579234972677598</v>
      </c>
      <c r="E19" s="33" t="s">
        <v>84</v>
      </c>
      <c r="F19" s="34" t="s">
        <v>88</v>
      </c>
      <c r="G19" s="35" t="s">
        <v>87</v>
      </c>
      <c r="K19" s="17"/>
      <c r="L19" s="17"/>
      <c r="M19" s="17"/>
      <c r="N19" s="17"/>
      <c r="O19" s="37"/>
    </row>
    <row r="20" spans="1:15" x14ac:dyDescent="0.2">
      <c r="A20" s="2" t="s">
        <v>73</v>
      </c>
      <c r="B20" s="2">
        <v>885</v>
      </c>
      <c r="C20" s="11">
        <f>100%-(($B$19-B20)/$B$19)</f>
        <v>0.98115299334811534</v>
      </c>
      <c r="E20" s="2" t="s">
        <v>37</v>
      </c>
      <c r="F20" s="6">
        <v>0.72</v>
      </c>
      <c r="G20" s="20">
        <f>((Tableau8[[#This Row],[Pre seed Ownership]])*(1-5%))*(1-$F$15)</f>
        <v>0.54720000000000002</v>
      </c>
      <c r="K20" s="17"/>
      <c r="L20" s="17"/>
      <c r="M20" s="17"/>
      <c r="N20" s="17"/>
    </row>
    <row r="21" spans="1:15" x14ac:dyDescent="0.2">
      <c r="A21" s="2" t="s">
        <v>74</v>
      </c>
      <c r="B21" s="2">
        <v>870</v>
      </c>
      <c r="C21" s="11">
        <f>100%-(($B$20-B21)/$B$20)</f>
        <v>0.98305084745762716</v>
      </c>
      <c r="E21" s="2" t="s">
        <v>38</v>
      </c>
      <c r="F21" s="6">
        <v>0.1</v>
      </c>
      <c r="G21" s="20">
        <f>((Tableau8[[#This Row],[Pre seed Ownership]])*(1-5%))*(1-$F$15)</f>
        <v>7.6000000000000012E-2</v>
      </c>
      <c r="K21" s="17"/>
      <c r="L21" s="17"/>
      <c r="M21" s="17"/>
      <c r="N21" s="17"/>
      <c r="O21" s="38"/>
    </row>
    <row r="22" spans="1:15" x14ac:dyDescent="0.2">
      <c r="A22" s="2" t="s">
        <v>75</v>
      </c>
      <c r="B22" s="2">
        <v>852</v>
      </c>
      <c r="C22" s="11">
        <f>100%-(($B$21-B22)/$B$21)</f>
        <v>0.97931034482758617</v>
      </c>
      <c r="E22" s="2" t="s">
        <v>39</v>
      </c>
      <c r="F22" s="6">
        <v>0.15</v>
      </c>
      <c r="G22" s="20">
        <f>((Tableau8[[#This Row],[Pre seed Ownership]])*(1-5%))*(1-$F$15)</f>
        <v>0.11399999999999999</v>
      </c>
      <c r="K22" s="39"/>
      <c r="L22" s="39"/>
      <c r="M22" s="39"/>
      <c r="N22" s="32"/>
      <c r="O22" s="38"/>
    </row>
    <row r="23" spans="1:15" x14ac:dyDescent="0.2">
      <c r="A23" s="2" t="s">
        <v>76</v>
      </c>
      <c r="B23" s="2">
        <v>838</v>
      </c>
      <c r="C23" s="11">
        <f>100%-(($B$22-B23)/$B$22)</f>
        <v>0.98356807511737088</v>
      </c>
      <c r="E23" s="15" t="s">
        <v>40</v>
      </c>
      <c r="F23" s="16">
        <v>0.03</v>
      </c>
      <c r="G23" s="20">
        <f>((Tableau8[[#This Row],[Pre seed Ownership]])*(1-5%))*(1-$F$15)</f>
        <v>2.2800000000000001E-2</v>
      </c>
      <c r="K23" s="39"/>
      <c r="L23" s="39"/>
      <c r="M23" s="39"/>
      <c r="N23" s="32"/>
      <c r="O23" s="38"/>
    </row>
    <row r="24" spans="1:15" x14ac:dyDescent="0.2">
      <c r="A24" s="2" t="s">
        <v>77</v>
      </c>
      <c r="B24" s="2">
        <v>820</v>
      </c>
      <c r="C24" s="11">
        <f>100%-(($B$23-B24)/$B$23)</f>
        <v>0.97852028639618138</v>
      </c>
      <c r="E24" s="2" t="s">
        <v>86</v>
      </c>
      <c r="F24" s="39"/>
      <c r="G24" s="20">
        <v>0.2</v>
      </c>
      <c r="K24" s="39"/>
      <c r="L24" s="39"/>
      <c r="M24" s="39"/>
      <c r="N24" s="32"/>
      <c r="O24" s="38"/>
    </row>
    <row r="25" spans="1:15" ht="17" thickBot="1" x14ac:dyDescent="0.25">
      <c r="E25" s="21" t="s">
        <v>89</v>
      </c>
      <c r="F25" s="22"/>
      <c r="G25" s="23">
        <f>5%*(1-20%)</f>
        <v>4.0000000000000008E-2</v>
      </c>
      <c r="H25" s="40"/>
      <c r="I25" s="39"/>
      <c r="J25" s="39"/>
      <c r="K25" s="39"/>
      <c r="L25" s="39"/>
      <c r="M25" s="39"/>
      <c r="N25" s="32"/>
      <c r="O25" s="38"/>
    </row>
    <row r="26" spans="1:15" x14ac:dyDescent="0.2">
      <c r="E26" s="2" t="s">
        <v>85</v>
      </c>
      <c r="F26" s="6">
        <f>SUM(F20:F23)</f>
        <v>1</v>
      </c>
      <c r="G26" s="19">
        <f>SUM(G20:G25)</f>
        <v>1</v>
      </c>
      <c r="H26" s="40"/>
      <c r="I26" s="39"/>
      <c r="J26" s="41"/>
      <c r="K26" s="41"/>
      <c r="L26" s="41"/>
      <c r="M26" s="41"/>
      <c r="N26" s="42"/>
      <c r="O26" s="38"/>
    </row>
    <row r="27" spans="1:15" x14ac:dyDescent="0.2">
      <c r="H27" s="40"/>
      <c r="I27" s="39"/>
      <c r="J27" s="41"/>
      <c r="K27" s="41"/>
      <c r="L27" s="41"/>
      <c r="M27" s="41"/>
      <c r="N27" s="42"/>
      <c r="O27" s="38"/>
    </row>
    <row r="28" spans="1:15" x14ac:dyDescent="0.2">
      <c r="A28" s="26"/>
      <c r="B28" s="43"/>
      <c r="H28" s="40"/>
      <c r="I28" s="39"/>
      <c r="J28" s="41"/>
      <c r="K28" s="41"/>
      <c r="L28" s="41"/>
      <c r="M28" s="41"/>
      <c r="N28" s="42"/>
      <c r="O28" s="38"/>
    </row>
    <row r="29" spans="1:15" ht="20" x14ac:dyDescent="0.2">
      <c r="A29" s="62" t="s">
        <v>46</v>
      </c>
      <c r="B29" s="62"/>
      <c r="C29" s="62"/>
      <c r="D29" s="62"/>
      <c r="E29" s="62"/>
      <c r="F29" s="62"/>
      <c r="G29" s="62"/>
      <c r="H29" s="62"/>
      <c r="I29" s="62"/>
      <c r="J29" s="39"/>
      <c r="K29" s="39"/>
      <c r="L29" s="39"/>
      <c r="M29" s="39"/>
      <c r="N29" s="32"/>
      <c r="O29" s="38"/>
    </row>
    <row r="30" spans="1:15" x14ac:dyDescent="0.2">
      <c r="A30" s="26"/>
      <c r="B30" s="44"/>
      <c r="H30" s="45"/>
      <c r="I30" s="36"/>
      <c r="J30" s="36"/>
      <c r="K30" s="36"/>
      <c r="L30" s="36"/>
      <c r="M30" s="36"/>
      <c r="N30" s="36"/>
      <c r="O30" s="20"/>
    </row>
    <row r="31" spans="1:15" x14ac:dyDescent="0.2">
      <c r="A31" s="13" t="s">
        <v>48</v>
      </c>
      <c r="B31" s="13" t="s">
        <v>49</v>
      </c>
      <c r="C31" s="13" t="s">
        <v>50</v>
      </c>
      <c r="D31" s="2" t="s">
        <v>92</v>
      </c>
      <c r="E31" s="2" t="s">
        <v>94</v>
      </c>
      <c r="F31" s="2" t="s">
        <v>91</v>
      </c>
      <c r="G31" s="2" t="s">
        <v>93</v>
      </c>
      <c r="H31" s="2" t="s">
        <v>95</v>
      </c>
      <c r="I31" s="2" t="s">
        <v>103</v>
      </c>
      <c r="J31" s="46"/>
      <c r="K31" s="46"/>
      <c r="L31" s="46"/>
      <c r="M31" s="46"/>
      <c r="N31" s="46"/>
      <c r="O31" s="47"/>
    </row>
    <row r="32" spans="1:15" x14ac:dyDescent="0.2">
      <c r="A32" s="2" t="s">
        <v>51</v>
      </c>
      <c r="B32" s="2">
        <v>120000000</v>
      </c>
      <c r="C32" s="11">
        <v>0.125</v>
      </c>
      <c r="D32" s="2">
        <f>Tableau610[[#This Row],[Exit Value]]*Tableau610[[#This Row],[VC Ownership]]</f>
        <v>15000000</v>
      </c>
      <c r="E32" s="2">
        <f>Tableau610[[#This Row],[Gain]]-Inputs!$H$3</f>
        <v>12000000</v>
      </c>
      <c r="F32" s="48">
        <f>(Tableau610[[#This Row],[Gain]]-Inputs!$H$3)/Inputs!$H$3</f>
        <v>4</v>
      </c>
      <c r="G32" s="48">
        <f>((Tableau610[[#This Row],[Gain]]/Inputs!$H$3)^(1/7))-1</f>
        <v>0.25849895064182671</v>
      </c>
      <c r="H32" s="49">
        <v>0.2</v>
      </c>
      <c r="I32" s="2">
        <f>Tableau610[[#This Row],[Gain]]*Tableau610[[#This Row],[Proabality ]]</f>
        <v>3000000</v>
      </c>
    </row>
    <row r="33" spans="1:9" x14ac:dyDescent="0.2">
      <c r="A33" s="2" t="s">
        <v>52</v>
      </c>
      <c r="B33" s="2">
        <v>45000000</v>
      </c>
      <c r="C33" s="11">
        <v>0.125</v>
      </c>
      <c r="D33" s="2">
        <f>Tableau610[[#This Row],[Exit Value]]*Tableau610[[#This Row],[VC Ownership]]</f>
        <v>5625000</v>
      </c>
      <c r="E33" s="2">
        <f>Tableau610[[#This Row],[Gain]]-Inputs!$H$3</f>
        <v>2625000</v>
      </c>
      <c r="F33" s="48">
        <f>(Tableau610[[#This Row],[Gain]]-Inputs!$H$3)/Inputs!$H$3</f>
        <v>0.875</v>
      </c>
      <c r="G33" s="48">
        <f>((Tableau610[[#This Row],[Gain]]/Inputs!$H$3)^(1/7))-1</f>
        <v>9.3956824020258844E-2</v>
      </c>
      <c r="H33" s="6">
        <v>0.55000000000000004</v>
      </c>
      <c r="I33" s="2">
        <f>Tableau610[[#This Row],[Gain]]*Tableau610[[#This Row],[Proabality ]]</f>
        <v>3093750.0000000005</v>
      </c>
    </row>
    <row r="34" spans="1:9" x14ac:dyDescent="0.2">
      <c r="A34" s="2" t="s">
        <v>53</v>
      </c>
      <c r="B34" s="2">
        <v>300000000</v>
      </c>
      <c r="C34" s="11">
        <v>0.125</v>
      </c>
      <c r="D34" s="2">
        <f>Tableau610[[#This Row],[Exit Value]]*Tableau610[[#This Row],[VC Ownership]]</f>
        <v>37500000</v>
      </c>
      <c r="E34" s="2">
        <f>Tableau610[[#This Row],[Gain]]-Inputs!$H$3</f>
        <v>34500000</v>
      </c>
      <c r="F34" s="48">
        <f>(Tableau610[[#This Row],[Gain]]-Inputs!$H$3)/Inputs!$H$3</f>
        <v>11.5</v>
      </c>
      <c r="G34" s="48">
        <f>((Tableau610[[#This Row],[Gain]]/Inputs!$H$3)^(1/7))-1</f>
        <v>0.43450289958509303</v>
      </c>
      <c r="H34" s="50">
        <v>0.25</v>
      </c>
      <c r="I34" s="2">
        <f>Tableau610[[#This Row],[Gain]]*Tableau610[[#This Row],[Proabality ]]</f>
        <v>9375000</v>
      </c>
    </row>
    <row r="35" spans="1:9" x14ac:dyDescent="0.2">
      <c r="A35" s="45"/>
      <c r="B35" s="17"/>
      <c r="C35" s="32"/>
      <c r="D35" s="32"/>
      <c r="E35" s="32"/>
      <c r="F35" s="32"/>
      <c r="G35" s="32"/>
      <c r="H35" s="36"/>
      <c r="I35" s="2">
        <f>SUM(Tableau610[Probability Gain Analysis])</f>
        <v>15468750</v>
      </c>
    </row>
    <row r="36" spans="1:9" ht="20" x14ac:dyDescent="0.2">
      <c r="A36" s="62" t="s">
        <v>101</v>
      </c>
      <c r="B36" s="62"/>
      <c r="C36" s="62"/>
      <c r="D36" s="62"/>
      <c r="E36" s="32"/>
      <c r="F36" s="32"/>
      <c r="G36" s="32"/>
      <c r="H36" s="36"/>
    </row>
    <row r="37" spans="1:9" x14ac:dyDescent="0.2">
      <c r="A37" s="45"/>
      <c r="B37" s="36"/>
      <c r="C37" s="58"/>
      <c r="D37" s="58"/>
      <c r="E37" s="58"/>
      <c r="F37" s="58"/>
      <c r="G37" s="58"/>
      <c r="H37" s="58"/>
      <c r="I37" s="37"/>
    </row>
    <row r="38" spans="1:9" x14ac:dyDescent="0.2">
      <c r="A38" s="2" t="s">
        <v>9</v>
      </c>
      <c r="B38" s="2" t="s">
        <v>10</v>
      </c>
      <c r="C38" s="12" t="s">
        <v>98</v>
      </c>
      <c r="D38" s="12" t="s">
        <v>99</v>
      </c>
      <c r="E38" s="36"/>
      <c r="F38" s="36"/>
      <c r="G38" s="36"/>
      <c r="H38" s="36"/>
      <c r="I38" s="36"/>
    </row>
    <row r="39" spans="1:9" x14ac:dyDescent="0.2">
      <c r="A39" s="59">
        <v>1</v>
      </c>
      <c r="B39" s="2">
        <v>21000</v>
      </c>
      <c r="C39" s="2">
        <f>21000-17500</f>
        <v>3500</v>
      </c>
      <c r="D39" s="48">
        <f>(Tableau111[[#This Row],[Amount]]-17500)/17500</f>
        <v>0.2</v>
      </c>
      <c r="E39" s="39"/>
      <c r="F39" s="39"/>
      <c r="G39" s="39"/>
      <c r="H39" s="32"/>
      <c r="I39" s="38"/>
    </row>
    <row r="40" spans="1:9" x14ac:dyDescent="0.2">
      <c r="A40" s="59">
        <v>2</v>
      </c>
      <c r="B40" s="2">
        <v>26000</v>
      </c>
      <c r="C40" s="2">
        <f>Tableau111[[#This Row],[Amount]]-B39</f>
        <v>5000</v>
      </c>
      <c r="D40" s="48">
        <f>(Tableau111[[#This Row],[Amount]]-B39)/B39</f>
        <v>0.23809523809523808</v>
      </c>
      <c r="E40" s="39"/>
      <c r="F40" s="39"/>
      <c r="G40" s="39"/>
      <c r="H40" s="32"/>
      <c r="I40" s="38"/>
    </row>
    <row r="41" spans="1:9" x14ac:dyDescent="0.2">
      <c r="A41" s="59">
        <v>3</v>
      </c>
      <c r="B41" s="2">
        <v>31000</v>
      </c>
      <c r="C41" s="2">
        <f>Tableau111[[#This Row],[Amount]]-B40</f>
        <v>5000</v>
      </c>
      <c r="D41" s="48">
        <f>(Tableau111[[#This Row],[Amount]]-B40)/B40</f>
        <v>0.19230769230769232</v>
      </c>
      <c r="E41" s="39"/>
      <c r="F41" s="39"/>
      <c r="G41" s="39"/>
      <c r="H41" s="32"/>
      <c r="I41" s="38"/>
    </row>
    <row r="42" spans="1:9" x14ac:dyDescent="0.2">
      <c r="A42" s="59">
        <v>4</v>
      </c>
      <c r="B42" s="2">
        <v>35000</v>
      </c>
      <c r="C42" s="2">
        <f>Tableau111[[#This Row],[Amount]]-B41</f>
        <v>4000</v>
      </c>
      <c r="D42" s="48">
        <f>(Tableau111[[#This Row],[Amount]]-B41)/B41</f>
        <v>0.12903225806451613</v>
      </c>
      <c r="E42" s="39"/>
      <c r="F42" s="39"/>
      <c r="G42" s="39"/>
      <c r="H42" s="32"/>
      <c r="I42" s="38"/>
    </row>
    <row r="43" spans="1:9" x14ac:dyDescent="0.2">
      <c r="A43" s="59">
        <v>5</v>
      </c>
      <c r="B43" s="2">
        <v>43000</v>
      </c>
      <c r="C43" s="2">
        <f>Tableau111[[#This Row],[Amount]]-B42</f>
        <v>8000</v>
      </c>
      <c r="D43" s="48">
        <f>(Tableau111[[#This Row],[Amount]]-B42)/B42</f>
        <v>0.22857142857142856</v>
      </c>
      <c r="E43" s="39"/>
      <c r="F43" s="39"/>
      <c r="G43" s="39"/>
      <c r="H43" s="32"/>
      <c r="I43" s="38"/>
    </row>
    <row r="44" spans="1:9" x14ac:dyDescent="0.2">
      <c r="A44" s="59">
        <v>6</v>
      </c>
      <c r="B44" s="2">
        <v>50000</v>
      </c>
      <c r="C44" s="2">
        <f>Tableau111[[#This Row],[Amount]]-B43</f>
        <v>7000</v>
      </c>
      <c r="D44" s="48">
        <f>(Tableau111[[#This Row],[Amount]]-B43)/B43</f>
        <v>0.16279069767441862</v>
      </c>
      <c r="E44" s="41"/>
      <c r="F44" s="41"/>
      <c r="G44" s="41"/>
      <c r="H44" s="42"/>
      <c r="I44" s="38"/>
    </row>
    <row r="45" spans="1:9" x14ac:dyDescent="0.2">
      <c r="A45" s="59">
        <v>7</v>
      </c>
      <c r="B45" s="2">
        <v>62000</v>
      </c>
      <c r="C45" s="2">
        <f>Tableau111[[#This Row],[Amount]]-B44</f>
        <v>12000</v>
      </c>
      <c r="D45" s="48">
        <f>(Tableau111[[#This Row],[Amount]]-B44)/B44</f>
        <v>0.24</v>
      </c>
      <c r="E45" s="41"/>
      <c r="F45" s="41"/>
      <c r="G45" s="41"/>
      <c r="H45" s="42"/>
      <c r="I45" s="38"/>
    </row>
    <row r="46" spans="1:9" x14ac:dyDescent="0.2">
      <c r="A46" s="59">
        <v>8</v>
      </c>
      <c r="B46" s="2">
        <v>71000</v>
      </c>
      <c r="C46" s="2">
        <f>Tableau111[[#This Row],[Amount]]-B45</f>
        <v>9000</v>
      </c>
      <c r="D46" s="48">
        <f>(Tableau111[[#This Row],[Amount]]-B45)/B45</f>
        <v>0.14516129032258066</v>
      </c>
      <c r="E46" s="41"/>
      <c r="F46" s="41"/>
      <c r="G46" s="41"/>
      <c r="H46" s="42"/>
      <c r="I46" s="38"/>
    </row>
    <row r="47" spans="1:9" x14ac:dyDescent="0.2">
      <c r="A47" s="59">
        <v>9</v>
      </c>
      <c r="B47" s="2">
        <v>88000</v>
      </c>
      <c r="C47" s="2">
        <f>Tableau111[[#This Row],[Amount]]-B46</f>
        <v>17000</v>
      </c>
      <c r="D47" s="48">
        <f>(Tableau111[[#This Row],[Amount]]-B46)/B46</f>
        <v>0.23943661971830985</v>
      </c>
      <c r="E47" s="39"/>
      <c r="F47" s="39"/>
      <c r="G47" s="39"/>
      <c r="H47" s="32"/>
      <c r="I47" s="38"/>
    </row>
    <row r="48" spans="1:9" x14ac:dyDescent="0.2">
      <c r="A48" s="59">
        <v>10</v>
      </c>
      <c r="B48" s="2">
        <v>94000</v>
      </c>
      <c r="C48" s="2">
        <f>Tableau111[[#This Row],[Amount]]-B47</f>
        <v>6000</v>
      </c>
      <c r="D48" s="48">
        <f>(Tableau111[[#This Row],[Amount]]-B47)/B47</f>
        <v>6.8181818181818177E-2</v>
      </c>
      <c r="E48" s="36"/>
      <c r="F48" s="36"/>
      <c r="G48" s="36"/>
      <c r="H48" s="36"/>
      <c r="I48" s="20"/>
    </row>
    <row r="49" spans="1:9" x14ac:dyDescent="0.2">
      <c r="A49" s="59">
        <v>11</v>
      </c>
      <c r="B49" s="2">
        <v>102000</v>
      </c>
      <c r="C49" s="2">
        <f>Tableau111[[#This Row],[Amount]]-B48</f>
        <v>8000</v>
      </c>
      <c r="D49" s="48">
        <f>(Tableau111[[#This Row],[Amount]]-B48)/B48</f>
        <v>8.5106382978723402E-2</v>
      </c>
      <c r="E49" s="46"/>
      <c r="F49" s="46"/>
      <c r="G49" s="46"/>
      <c r="H49" s="46"/>
      <c r="I49" s="47"/>
    </row>
    <row r="50" spans="1:9" x14ac:dyDescent="0.2">
      <c r="A50" s="59">
        <v>12</v>
      </c>
      <c r="B50" s="2">
        <v>118000</v>
      </c>
      <c r="C50" s="2">
        <f>Tableau111[[#This Row],[Amount]]-B49</f>
        <v>16000</v>
      </c>
      <c r="D50" s="48">
        <f>(Tableau111[[#This Row],[Amount]]-B49)/B49</f>
        <v>0.15686274509803921</v>
      </c>
    </row>
    <row r="51" spans="1:9" x14ac:dyDescent="0.2">
      <c r="A51" s="59">
        <v>13</v>
      </c>
      <c r="B51" s="2">
        <v>132000</v>
      </c>
      <c r="C51" s="2">
        <f>Tableau111[[#This Row],[Amount]]-B50</f>
        <v>14000</v>
      </c>
      <c r="D51" s="48">
        <f>(Tableau111[[#This Row],[Amount]]-B50)/B50</f>
        <v>0.11864406779661017</v>
      </c>
    </row>
    <row r="52" spans="1:9" x14ac:dyDescent="0.2">
      <c r="A52" s="59">
        <v>14</v>
      </c>
      <c r="B52" s="2">
        <v>145000</v>
      </c>
      <c r="C52" s="2">
        <f>Tableau111[[#This Row],[Amount]]-B51</f>
        <v>13000</v>
      </c>
      <c r="D52" s="48">
        <f>(Tableau111[[#This Row],[Amount]]-B51)/B51</f>
        <v>9.8484848484848481E-2</v>
      </c>
    </row>
    <row r="53" spans="1:9" x14ac:dyDescent="0.2">
      <c r="A53" s="59">
        <v>15</v>
      </c>
      <c r="B53" s="2">
        <v>160000</v>
      </c>
      <c r="C53" s="2">
        <f>Tableau111[[#This Row],[Amount]]-B52</f>
        <v>15000</v>
      </c>
      <c r="D53" s="48">
        <f>(Tableau111[[#This Row],[Amount]]-B52)/B52</f>
        <v>0.10344827586206896</v>
      </c>
    </row>
    <row r="54" spans="1:9" x14ac:dyDescent="0.2">
      <c r="A54" s="59">
        <v>16</v>
      </c>
      <c r="B54" s="2">
        <v>174000</v>
      </c>
      <c r="C54" s="2">
        <f>Tableau111[[#This Row],[Amount]]-B53</f>
        <v>14000</v>
      </c>
      <c r="D54" s="48">
        <f>(Tableau111[[#This Row],[Amount]]-B53)/B53</f>
        <v>8.7499999999999994E-2</v>
      </c>
    </row>
    <row r="55" spans="1:9" x14ac:dyDescent="0.2">
      <c r="A55" s="59">
        <v>17</v>
      </c>
      <c r="B55" s="2">
        <v>195000</v>
      </c>
      <c r="C55" s="2">
        <f>Tableau111[[#This Row],[Amount]]-B54</f>
        <v>21000</v>
      </c>
      <c r="D55" s="48">
        <f>(Tableau111[[#This Row],[Amount]]-B54)/B54</f>
        <v>0.1206896551724138</v>
      </c>
    </row>
    <row r="56" spans="1:9" x14ac:dyDescent="0.2">
      <c r="A56" s="59">
        <v>18</v>
      </c>
      <c r="B56" s="2">
        <v>210000</v>
      </c>
      <c r="C56" s="2">
        <f>Tableau111[[#This Row],[Amount]]-B55</f>
        <v>15000</v>
      </c>
      <c r="D56" s="48">
        <f>(Tableau111[[#This Row],[Amount]]-B55)/B55</f>
        <v>7.6923076923076927E-2</v>
      </c>
    </row>
    <row r="57" spans="1:9" x14ac:dyDescent="0.2">
      <c r="A57" s="59">
        <v>19</v>
      </c>
      <c r="B57" s="2">
        <v>223000</v>
      </c>
      <c r="C57" s="2">
        <f>Tableau111[[#This Row],[Amount]]-B56</f>
        <v>13000</v>
      </c>
      <c r="D57" s="48">
        <f>(Tableau111[[#This Row],[Amount]]-B56)/B56</f>
        <v>6.1904761904761907E-2</v>
      </c>
    </row>
    <row r="58" spans="1:9" x14ac:dyDescent="0.2">
      <c r="A58" s="59">
        <v>20</v>
      </c>
      <c r="B58" s="2">
        <v>240000</v>
      </c>
      <c r="C58" s="2">
        <f>Tableau111[[#This Row],[Amount]]-B57</f>
        <v>17000</v>
      </c>
      <c r="D58" s="48">
        <f>(Tableau111[[#This Row],[Amount]]-B57)/B57</f>
        <v>7.623318385650224E-2</v>
      </c>
    </row>
    <row r="59" spans="1:9" x14ac:dyDescent="0.2">
      <c r="A59" s="59">
        <v>21</v>
      </c>
      <c r="B59" s="2">
        <v>263000</v>
      </c>
      <c r="C59" s="2">
        <f>Tableau111[[#This Row],[Amount]]-B58</f>
        <v>23000</v>
      </c>
      <c r="D59" s="48">
        <f>(Tableau111[[#This Row],[Amount]]-B58)/B58</f>
        <v>9.583333333333334E-2</v>
      </c>
    </row>
    <row r="60" spans="1:9" x14ac:dyDescent="0.2">
      <c r="A60" s="59">
        <v>22</v>
      </c>
      <c r="B60" s="2">
        <v>281000</v>
      </c>
      <c r="C60" s="2">
        <f>Tableau111[[#This Row],[Amount]]-B59</f>
        <v>18000</v>
      </c>
      <c r="D60" s="48">
        <f>(Tableau111[[#This Row],[Amount]]-B59)/B59</f>
        <v>6.8441064638783272E-2</v>
      </c>
    </row>
    <row r="61" spans="1:9" x14ac:dyDescent="0.2">
      <c r="A61" s="59">
        <v>23</v>
      </c>
      <c r="B61" s="2">
        <v>302000</v>
      </c>
      <c r="C61" s="2">
        <f>Tableau111[[#This Row],[Amount]]-B60</f>
        <v>21000</v>
      </c>
      <c r="D61" s="48">
        <f>(Tableau111[[#This Row],[Amount]]-B60)/B60</f>
        <v>7.4733096085409248E-2</v>
      </c>
    </row>
    <row r="62" spans="1:9" ht="17" thickBot="1" x14ac:dyDescent="0.25">
      <c r="A62" s="60">
        <v>24</v>
      </c>
      <c r="B62" s="55">
        <v>325000</v>
      </c>
      <c r="C62" s="55">
        <f>Tableau111[[#This Row],[Amount]]-B61</f>
        <v>23000</v>
      </c>
      <c r="D62" s="56">
        <f>(Tableau111[[#This Row],[Amount]]-B61)/B61</f>
        <v>7.6158940397350994E-2</v>
      </c>
    </row>
    <row r="63" spans="1:9" ht="17" thickTop="1" x14ac:dyDescent="0.2">
      <c r="A63" s="13" t="s">
        <v>102</v>
      </c>
      <c r="C63" s="13">
        <f>AVERAGE(C39:C62)</f>
        <v>12812.5</v>
      </c>
      <c r="D63" s="57">
        <f>AVERAGE(D40:D62)</f>
        <v>0.12802349893338802</v>
      </c>
    </row>
    <row r="65" spans="1:2" x14ac:dyDescent="0.2">
      <c r="A65"/>
      <c r="B65"/>
    </row>
    <row r="66" spans="1:2" x14ac:dyDescent="0.2">
      <c r="A66" s="13" t="s">
        <v>100</v>
      </c>
      <c r="B66" s="57">
        <f>((B62/B39)^(1/2)-1)</f>
        <v>2.9339789623472159</v>
      </c>
    </row>
  </sheetData>
  <mergeCells count="4">
    <mergeCell ref="A2:C2"/>
    <mergeCell ref="A11:C11"/>
    <mergeCell ref="A29:I29"/>
    <mergeCell ref="A36:D36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6892-0B06-234C-B213-0B56E5EA6138}">
  <dimension ref="A1"/>
  <sheetViews>
    <sheetView showGridLines="0" workbookViewId="0">
      <selection activeCell="T18" sqref="T1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Inputs</vt:lpstr>
      <vt:lpstr>Analysis</vt:lpstr>
      <vt:lpstr>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moumini barry</dc:creator>
  <cp:lastModifiedBy>moumini barry</cp:lastModifiedBy>
  <dcterms:created xsi:type="dcterms:W3CDTF">2025-11-20T23:03:44Z</dcterms:created>
  <dcterms:modified xsi:type="dcterms:W3CDTF">2025-11-30T15:15:18Z</dcterms:modified>
</cp:coreProperties>
</file>